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NOI" sheetId="3" state="visible" r:id="rId3"/>
    <sheet xmlns:r="http://schemas.openxmlformats.org/officeDocument/2006/relationships" name="The Buy" sheetId="4" state="visible" r:id="rId4"/>
    <sheet xmlns:r="http://schemas.openxmlformats.org/officeDocument/2006/relationships" name="Investor Team" sheetId="5" state="visible" r:id="rId5"/>
    <sheet xmlns:r="http://schemas.openxmlformats.org/officeDocument/2006/relationships" name="Sale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Read Me" sheetId="8" state="visible" r:id="rId8"/>
  </sheets>
  <definedNames>
    <definedName name="deal_name">Inputs!$B$5</definedName>
    <definedName name="deal_short_name">Inputs!$B$6</definedName>
    <definedName name="property_address_full">Inputs!$B$7</definedName>
    <definedName name="property_business_name">Inputs!$B$8</definedName>
    <definedName name="property_business_url">Inputs!$B$9</definedName>
    <definedName name="property_acres">Inputs!$B$10</definedName>
    <definedName name="purchase_price">Inputs!$B$12</definedName>
    <definedName name="earnest_money">Inputs!$B$13</definedName>
    <definedName name="reserve">Inputs!$B$14</definedName>
    <definedName name="title_fees">Inputs!$B$15</definedName>
    <definedName name="loan_costs_fixed">Inputs!$B$16</definedName>
    <definedName name="loan_costs_pct">Inputs!$B$17</definedName>
    <definedName name="loan_to_value">Inputs!$B$19</definedName>
    <definedName name="loan_interest_rate">Inputs!$B$20</definedName>
    <definedName name="loan_amortization_years">Inputs!$B$21</definedName>
    <definedName name="rent_year_1_monthly">Inputs!$B$23</definedName>
    <definedName name="rent_annual_escalator">Inputs!$B$24</definedName>
    <definedName name="mgmt_fee_pct_of_rent">Inputs!$B$25</definedName>
    <definedName name="rm_annual">Inputs!$B$26</definedName>
    <definedName name="misc_annual">Inputs!$B$27</definedName>
    <definedName name="property_tax_annual">Inputs!$B$28</definedName>
    <definedName name="insurance_annual">Inputs!$B$29</definedName>
    <definedName name="is_pure_nnn">Inputs!$B$30</definedName>
    <definedName name="hold_period_years">Inputs!$B$32</definedName>
    <definedName name="exit_cap_rate">Inputs!$B$33</definedName>
    <definedName name="sale_title_fee_pct">Inputs!$B$34</definedName>
    <definedName name="je_cash">Inputs!$B$36</definedName>
    <definedName name="je_repayment">Inputs!$B$37</definedName>
    <definedName name="je_credited_equity">Inputs!$B$38</definedName>
    <definedName name="em_allocation_mode">Inputs!$B$40</definedName>
    <definedName name="equity_required">'The Buy'!$B$9</definedName>
    <definedName name="loan_amount">'The Buy'!$B$12</definedName>
    <definedName name="monthly_payment">'The Buy'!$B$15</definedName>
    <definedName name="annual_payment">'The Buy'!$B$16</definedName>
    <definedName name="cum_principal_at_exit">'The Buy'!$B$20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00%"/>
    <numFmt numFmtId="166" formatCode="$#,##0.00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10"/>
    </font>
    <font>
      <name val="Consolas"/>
      <sz val="10"/>
    </font>
    <font>
      <name val="Calibri"/>
      <b val="1"/>
      <color rgb="001F3A5F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4A6FA5"/>
      </patternFill>
    </fill>
    <fill>
      <patternFill patternType="solid">
        <fgColor rgb="00FFF7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1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0" fontId="3" fillId="3" borderId="0" applyAlignment="1" pivotButton="0" quotePrefix="0" xfId="0">
      <alignment horizontal="left" vertical="center" indent="1"/>
    </xf>
    <xf numFmtId="49" fontId="5" fillId="4" borderId="1" applyAlignment="1" pivotButton="0" quotePrefix="0" xfId="0">
      <alignment horizontal="right"/>
    </xf>
    <xf numFmtId="0" fontId="2" fillId="0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10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" fontId="5" fillId="4" borderId="1" applyAlignment="1" pivotButton="0" quotePrefix="0" xfId="0">
      <alignment horizontal="right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49" fontId="5" fillId="4" borderId="1" applyAlignment="1" pivotButton="0" quotePrefix="0" xfId="0">
      <alignment horizontal="left"/>
    </xf>
    <xf numFmtId="10" fontId="6" fillId="5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49" fontId="5" fillId="0" borderId="1" applyAlignment="1" pivotButton="0" quotePrefix="0" xfId="0">
      <alignment horizontal="left"/>
    </xf>
    <xf numFmtId="1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/>
    </xf>
    <xf numFmtId="167" fontId="5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28" customHeight="1">
      <c r="A1" s="1" t="inlineStr">
        <is>
          <t>MOAB EARLY APP — SUMMARY</t>
        </is>
      </c>
    </row>
    <row r="2">
      <c r="A2" s="2">
        <f>property_address_full</f>
        <v/>
      </c>
    </row>
    <row r="4">
      <c r="A4" s="3" t="inlineStr">
        <is>
          <t>Purchase price</t>
        </is>
      </c>
      <c r="B4" s="4">
        <f>purchase_price</f>
        <v/>
      </c>
    </row>
    <row r="5">
      <c r="A5" s="3" t="inlineStr">
        <is>
          <t>Loan amount</t>
        </is>
      </c>
      <c r="B5" s="4">
        <f>loan_amount</f>
        <v/>
      </c>
    </row>
    <row r="6">
      <c r="A6" s="3" t="inlineStr">
        <is>
          <t>Equity required</t>
        </is>
      </c>
      <c r="B6" s="4">
        <f>equity_required</f>
        <v/>
      </c>
    </row>
    <row r="7">
      <c r="A7" s="3" t="inlineStr">
        <is>
          <t>Earnest money</t>
        </is>
      </c>
      <c r="B7" s="4">
        <f>earnest_money</f>
        <v/>
      </c>
    </row>
    <row r="8">
      <c r="A8" s="3" t="inlineStr">
        <is>
          <t>Reserve</t>
        </is>
      </c>
      <c r="B8" s="4">
        <f>reserve</f>
        <v/>
      </c>
    </row>
    <row r="9">
      <c r="A9" s="3" t="inlineStr">
        <is>
          <t>Year 1 rent (monthly)</t>
        </is>
      </c>
      <c r="B9" s="4">
        <f>rent_year_1_monthly</f>
        <v/>
      </c>
    </row>
    <row r="10">
      <c r="A10" s="3" t="inlineStr">
        <is>
          <t>Annual rent escalator</t>
        </is>
      </c>
      <c r="B10" s="5">
        <f>rent_annual_escalator</f>
        <v/>
      </c>
    </row>
    <row r="11">
      <c r="A11" s="3" t="inlineStr">
        <is>
          <t>Hold period (yrs)</t>
        </is>
      </c>
      <c r="B11" s="6">
        <f>hold_period_years</f>
        <v/>
      </c>
    </row>
    <row r="12">
      <c r="A12" s="3" t="inlineStr">
        <is>
          <t>Loan rate</t>
        </is>
      </c>
      <c r="B12" s="7">
        <f>loan_interest_rate</f>
        <v/>
      </c>
    </row>
    <row r="13">
      <c r="A13" s="3" t="inlineStr">
        <is>
          <t>Loan amortization</t>
        </is>
      </c>
      <c r="B13" s="6">
        <f>loan_amortization_years</f>
        <v/>
      </c>
    </row>
    <row r="14">
      <c r="A14" s="3" t="inlineStr">
        <is>
          <t>Monthly payment</t>
        </is>
      </c>
      <c r="B14" s="8">
        <f>monthly_payment</f>
        <v/>
      </c>
    </row>
    <row r="15">
      <c r="A15" s="3" t="inlineStr">
        <is>
          <t>Year 1 NOI</t>
        </is>
      </c>
      <c r="B15" s="9">
        <f>INDEX(NOI!B15:K15,1,1)</f>
        <v/>
      </c>
    </row>
    <row r="16">
      <c r="A16" s="3" t="inlineStr">
        <is>
          <t>Year 1 cash flow</t>
        </is>
      </c>
      <c r="B16" s="9">
        <f>INDEX(NOI!B19:K19,1,1)</f>
        <v/>
      </c>
    </row>
    <row r="17">
      <c r="A17" s="3" t="inlineStr">
        <is>
          <t>Year-N NOI (at hold)</t>
        </is>
      </c>
      <c r="B17" s="9">
        <f>INDEX(NOI!B15:K15,1,hold_period_years)</f>
        <v/>
      </c>
    </row>
    <row r="18">
      <c r="A18" s="3" t="inlineStr">
        <is>
          <t>Year-N sale value (at exit cap)</t>
        </is>
      </c>
      <c r="B18" s="9">
        <f>Sale!B4</f>
        <v/>
      </c>
    </row>
    <row r="19">
      <c r="A19" s="3" t="inlineStr">
        <is>
          <t>Year-N total profit</t>
        </is>
      </c>
      <c r="B19" s="9">
        <f>Sale!B11</f>
        <v/>
      </c>
    </row>
    <row r="20">
      <c r="A20" s="3" t="inlineStr">
        <is>
          <t>JE total profit (auto-ded slot)</t>
        </is>
      </c>
      <c r="B20" s="9">
        <f>SUMIFS(Sale!D15:D26,'Investor Team'!F5:F16,1)</f>
        <v/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6" customWidth="1" min="3" max="3"/>
  </cols>
  <sheetData>
    <row r="1" ht="28" customHeight="1">
      <c r="A1" s="1" t="inlineStr">
        <is>
          <t>MOAB EARLY APP — INPUTS</t>
        </is>
      </c>
    </row>
    <row r="2">
      <c r="A2" s="2" t="inlineStr">
        <is>
          <t>Yellow cells = editable. App reads these on load. Names below match app field keys.</t>
        </is>
      </c>
    </row>
    <row r="4" ht="20" customHeight="1">
      <c r="A4" s="10" t="inlineStr">
        <is>
          <t>DEAL META</t>
        </is>
      </c>
    </row>
    <row r="5">
      <c r="A5" s="3" t="inlineStr">
        <is>
          <t>Deal name</t>
        </is>
      </c>
      <c r="B5" s="11" t="inlineStr">
        <is>
          <t>Moab Early — 805 N Main</t>
        </is>
      </c>
      <c r="C5" s="12" t="inlineStr">
        <is>
          <t>string</t>
        </is>
      </c>
    </row>
    <row r="6">
      <c r="A6" s="3" t="inlineStr">
        <is>
          <t>Deal short name</t>
        </is>
      </c>
      <c r="B6" s="11" t="inlineStr">
        <is>
          <t>Able_Moab_Warehouse</t>
        </is>
      </c>
      <c r="C6" s="12" t="inlineStr">
        <is>
          <t>used in version filenames</t>
        </is>
      </c>
    </row>
    <row r="7">
      <c r="A7" s="3" t="inlineStr">
        <is>
          <t>Property address (full)</t>
        </is>
      </c>
      <c r="B7" s="11" t="inlineStr">
        <is>
          <t>805 N Main St, Moab, UT 84532</t>
        </is>
      </c>
      <c r="C7" s="12" t="inlineStr">
        <is>
          <t>Google / Nominatim auto</t>
        </is>
      </c>
    </row>
    <row r="8">
      <c r="A8" s="3" t="inlineStr">
        <is>
          <t>Property business name</t>
        </is>
      </c>
      <c r="B8" s="11" t="inlineStr"/>
      <c r="C8" s="12" t="inlineStr">
        <is>
          <t>auto-pull from Maps</t>
        </is>
      </c>
    </row>
    <row r="9">
      <c r="A9" s="3" t="inlineStr">
        <is>
          <t>Property business URL</t>
        </is>
      </c>
      <c r="B9" s="11" t="inlineStr"/>
      <c r="C9" s="12" t="inlineStr">
        <is>
          <t>auto-pull from Maps</t>
        </is>
      </c>
    </row>
    <row r="10">
      <c r="A10" s="3" t="inlineStr">
        <is>
          <t>Property acres</t>
        </is>
      </c>
      <c r="B10" s="13" t="n">
        <v>0.99</v>
      </c>
      <c r="C10" s="12" t="inlineStr">
        <is>
          <t>acres</t>
        </is>
      </c>
    </row>
    <row r="11" ht="20" customHeight="1">
      <c r="A11" s="10" t="inlineStr">
        <is>
          <t>PURCHASE</t>
        </is>
      </c>
    </row>
    <row r="12">
      <c r="A12" s="3" t="inlineStr">
        <is>
          <t>Purchase price</t>
        </is>
      </c>
      <c r="B12" s="14" t="n">
        <v>1225000</v>
      </c>
      <c r="C12" s="12" t="inlineStr">
        <is>
          <t>$</t>
        </is>
      </c>
    </row>
    <row r="13">
      <c r="A13" s="3" t="inlineStr">
        <is>
          <t>Earnest money</t>
        </is>
      </c>
      <c r="B13" s="14" t="n">
        <v>25000</v>
      </c>
      <c r="C13" s="12" t="inlineStr">
        <is>
          <t>$</t>
        </is>
      </c>
    </row>
    <row r="14">
      <c r="A14" s="3" t="inlineStr">
        <is>
          <t>Reserve</t>
        </is>
      </c>
      <c r="B14" s="14" t="n">
        <v>40000</v>
      </c>
      <c r="C14" s="12" t="inlineStr">
        <is>
          <t>$</t>
        </is>
      </c>
    </row>
    <row r="15">
      <c r="A15" s="3" t="inlineStr">
        <is>
          <t>Title fees</t>
        </is>
      </c>
      <c r="B15" s="14" t="n">
        <v>2000</v>
      </c>
      <c r="C15" s="12" t="inlineStr">
        <is>
          <t>$</t>
        </is>
      </c>
    </row>
    <row r="16">
      <c r="A16" s="3" t="inlineStr">
        <is>
          <t>Loan costs (fixed)</t>
        </is>
      </c>
      <c r="B16" s="14" t="n">
        <v>2000</v>
      </c>
      <c r="C16" s="12" t="inlineStr">
        <is>
          <t>$</t>
        </is>
      </c>
    </row>
    <row r="17">
      <c r="A17" s="3" t="inlineStr">
        <is>
          <t>Loan costs (% of loan)</t>
        </is>
      </c>
      <c r="B17" s="15" t="n">
        <v>0.01</v>
      </c>
      <c r="C17" s="12" t="inlineStr">
        <is>
          <t>% of loan</t>
        </is>
      </c>
    </row>
    <row r="18" ht="20" customHeight="1">
      <c r="A18" s="10" t="inlineStr">
        <is>
          <t>LOAN</t>
        </is>
      </c>
    </row>
    <row r="19">
      <c r="A19" s="3" t="inlineStr">
        <is>
          <t>Loan-to-value</t>
        </is>
      </c>
      <c r="B19" s="15" t="n">
        <v>0.8</v>
      </c>
      <c r="C19" s="12" t="inlineStr">
        <is>
          <t>60% – 85%</t>
        </is>
      </c>
    </row>
    <row r="20">
      <c r="A20" s="3" t="inlineStr">
        <is>
          <t>Loan interest rate</t>
        </is>
      </c>
      <c r="B20" s="16" t="n">
        <v>0.075</v>
      </c>
      <c r="C20" s="12" t="inlineStr">
        <is>
          <t>5% – 10%</t>
        </is>
      </c>
    </row>
    <row r="21">
      <c r="A21" s="3" t="inlineStr">
        <is>
          <t>Loan amortization (yrs)</t>
        </is>
      </c>
      <c r="B21" s="17" t="n">
        <v>25</v>
      </c>
      <c r="C21" s="12" t="inlineStr">
        <is>
          <t>{15,20,25,30}</t>
        </is>
      </c>
    </row>
    <row r="22" ht="20" customHeight="1">
      <c r="A22" s="10" t="inlineStr">
        <is>
          <t>OPERATING (Year 1, escalates)</t>
        </is>
      </c>
    </row>
    <row r="23">
      <c r="A23" s="3" t="inlineStr">
        <is>
          <t>Year 1 rent (monthly NNN)</t>
        </is>
      </c>
      <c r="B23" s="14" t="n">
        <v>9000</v>
      </c>
      <c r="C23" s="12" t="inlineStr">
        <is>
          <t>$ / month</t>
        </is>
      </c>
    </row>
    <row r="24">
      <c r="A24" s="3" t="inlineStr">
        <is>
          <t>Annual rent escalator</t>
        </is>
      </c>
      <c r="B24" s="15" t="n">
        <v>0.04</v>
      </c>
      <c r="C24" s="12" t="inlineStr">
        <is>
          <t>0% – 6%</t>
        </is>
      </c>
    </row>
    <row r="25">
      <c r="A25" s="3" t="inlineStr">
        <is>
          <t>Mgmt fee % of rent</t>
        </is>
      </c>
      <c r="B25" s="15" t="n">
        <v>0.04</v>
      </c>
      <c r="C25" s="12" t="inlineStr">
        <is>
          <t>% of gross rent</t>
        </is>
      </c>
    </row>
    <row r="26">
      <c r="A26" s="3" t="inlineStr">
        <is>
          <t>R&amp;M annual</t>
        </is>
      </c>
      <c r="B26" s="14" t="n">
        <v>0</v>
      </c>
      <c r="C26" s="12" t="inlineStr">
        <is>
          <t>$ / year</t>
        </is>
      </c>
    </row>
    <row r="27">
      <c r="A27" s="3" t="inlineStr">
        <is>
          <t>Misc OpEx annual</t>
        </is>
      </c>
      <c r="B27" s="14" t="n">
        <v>6000</v>
      </c>
      <c r="C27" s="12" t="inlineStr">
        <is>
          <t>$ / year</t>
        </is>
      </c>
    </row>
    <row r="28">
      <c r="A28" s="3" t="inlineStr">
        <is>
          <t>Property tax annual</t>
        </is>
      </c>
      <c r="B28" s="14" t="n">
        <v>11884</v>
      </c>
      <c r="C28" s="12" t="inlineStr">
        <is>
          <t>$ (only if NOT pure NNN)</t>
        </is>
      </c>
    </row>
    <row r="29">
      <c r="A29" s="3" t="inlineStr">
        <is>
          <t>Insurance annual</t>
        </is>
      </c>
      <c r="B29" s="14" t="n">
        <v>1800</v>
      </c>
      <c r="C29" s="12" t="inlineStr">
        <is>
          <t>$ (only if NOT pure NNN)</t>
        </is>
      </c>
    </row>
    <row r="30">
      <c r="A30" s="3" t="inlineStr">
        <is>
          <t>Pure NNN? (1 = TRUE)</t>
        </is>
      </c>
      <c r="B30" s="17" t="n">
        <v>1</v>
      </c>
      <c r="C30" s="12" t="inlineStr">
        <is>
          <t>1 = tax+ins NOT in NOI</t>
        </is>
      </c>
    </row>
    <row r="31" ht="20" customHeight="1">
      <c r="A31" s="10" t="inlineStr">
        <is>
          <t>EXIT</t>
        </is>
      </c>
    </row>
    <row r="32">
      <c r="A32" s="3" t="inlineStr">
        <is>
          <t>Hold period (yrs)</t>
        </is>
      </c>
      <c r="B32" s="17" t="n">
        <v>5</v>
      </c>
      <c r="C32" s="12" t="inlineStr">
        <is>
          <t>3 – 10</t>
        </is>
      </c>
    </row>
    <row r="33">
      <c r="A33" s="3" t="inlineStr">
        <is>
          <t>Exit cap rate</t>
        </is>
      </c>
      <c r="B33" s="15" t="n">
        <v>0.08</v>
      </c>
      <c r="C33" s="12" t="inlineStr">
        <is>
          <t>5% – 12%</t>
        </is>
      </c>
    </row>
    <row r="34">
      <c r="A34" s="3" t="inlineStr">
        <is>
          <t>Sale title fee %</t>
        </is>
      </c>
      <c r="B34" s="15" t="n">
        <v>0.01</v>
      </c>
      <c r="C34" s="12" t="inlineStr">
        <is>
          <t>% of sale price</t>
        </is>
      </c>
    </row>
    <row r="35" ht="20" customHeight="1">
      <c r="A35" s="10" t="inlineStr">
        <is>
          <t>JE POSITION (operator)</t>
        </is>
      </c>
    </row>
    <row r="36">
      <c r="A36" s="3" t="inlineStr">
        <is>
          <t>JE cash (new)</t>
        </is>
      </c>
      <c r="B36" s="14" t="n">
        <v>0</v>
      </c>
      <c r="C36" s="12" t="inlineStr">
        <is>
          <t>$ new cash this round</t>
        </is>
      </c>
    </row>
    <row r="37">
      <c r="A37" s="3" t="inlineStr">
        <is>
          <t>JE repayment of prior</t>
        </is>
      </c>
      <c r="B37" s="14" t="n">
        <v>175000</v>
      </c>
      <c r="C37" s="12" t="inlineStr">
        <is>
          <t>$ prior repaid at close</t>
        </is>
      </c>
    </row>
    <row r="38">
      <c r="A38" s="3" t="inlineStr">
        <is>
          <t>JE credited equity</t>
        </is>
      </c>
      <c r="B38" s="14" t="n">
        <v>0</v>
      </c>
      <c r="C38" s="12" t="inlineStr">
        <is>
          <t>$ non-cash credit</t>
        </is>
      </c>
    </row>
    <row r="39" ht="20" customHeight="1">
      <c r="A39" s="10" t="inlineStr">
        <is>
          <t>EARNEST MONEY ALLOCATION</t>
        </is>
      </c>
    </row>
    <row r="40">
      <c r="A40" s="3" t="inlineStr">
        <is>
          <t>EM allocation mode (1/2/3)</t>
        </is>
      </c>
      <c r="B40" s="17" t="n">
        <v>1</v>
      </c>
      <c r="C40" s="12" t="inlineStr">
        <is>
          <t>1=dedicated,2=distributed,3=JE-absorbed</t>
        </is>
      </c>
    </row>
  </sheetData>
  <mergeCells count="9">
    <mergeCell ref="A11:C11"/>
    <mergeCell ref="A1:C1"/>
    <mergeCell ref="A31:C31"/>
    <mergeCell ref="A22:C22"/>
    <mergeCell ref="A18:C18"/>
    <mergeCell ref="A39:C39"/>
    <mergeCell ref="A35:C35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NOI — 10-YEAR PROJECTION</t>
        </is>
      </c>
    </row>
    <row r="3">
      <c r="A3" s="18" t="inlineStr"/>
      <c r="B3" s="19" t="inlineStr">
        <is>
          <t>Yr 1</t>
        </is>
      </c>
      <c r="C3" s="19" t="inlineStr">
        <is>
          <t>Yr 2</t>
        </is>
      </c>
      <c r="D3" s="19" t="inlineStr">
        <is>
          <t>Yr 3</t>
        </is>
      </c>
      <c r="E3" s="19" t="inlineStr">
        <is>
          <t>Yr 4</t>
        </is>
      </c>
      <c r="F3" s="19" t="inlineStr">
        <is>
          <t>Yr 5</t>
        </is>
      </c>
      <c r="G3" s="19" t="inlineStr">
        <is>
          <t>Yr 6</t>
        </is>
      </c>
      <c r="H3" s="19" t="inlineStr">
        <is>
          <t>Yr 7</t>
        </is>
      </c>
      <c r="I3" s="19" t="inlineStr">
        <is>
          <t>Yr 8</t>
        </is>
      </c>
      <c r="J3" s="19" t="inlineStr">
        <is>
          <t>Yr 9</t>
        </is>
      </c>
      <c r="K3" s="19" t="inlineStr">
        <is>
          <t>Yr 10</t>
        </is>
      </c>
    </row>
    <row r="4">
      <c r="A4" s="3" t="inlineStr">
        <is>
          <t>Monthly rent (NNN)</t>
        </is>
      </c>
      <c r="B4" s="4">
        <f>IF(1&gt;hold_period_years,"",rent_year_1_monthly)</f>
        <v/>
      </c>
      <c r="C4" s="4">
        <f>IF(2&gt;hold_period_years,"",B4*(1+rent_annual_escalator))</f>
        <v/>
      </c>
      <c r="D4" s="4">
        <f>IF(3&gt;hold_period_years,"",C4*(1+rent_annual_escalator))</f>
        <v/>
      </c>
      <c r="E4" s="4">
        <f>IF(4&gt;hold_period_years,"",D4*(1+rent_annual_escalator))</f>
        <v/>
      </c>
      <c r="F4" s="4">
        <f>IF(5&gt;hold_period_years,"",E4*(1+rent_annual_escalator))</f>
        <v/>
      </c>
      <c r="G4" s="4">
        <f>IF(6&gt;hold_period_years,"",F4*(1+rent_annual_escalator))</f>
        <v/>
      </c>
      <c r="H4" s="4">
        <f>IF(7&gt;hold_period_years,"",G4*(1+rent_annual_escalator))</f>
        <v/>
      </c>
      <c r="I4" s="4">
        <f>IF(8&gt;hold_period_years,"",H4*(1+rent_annual_escalator))</f>
        <v/>
      </c>
      <c r="J4" s="4">
        <f>IF(9&gt;hold_period_years,"",I4*(1+rent_annual_escalator))</f>
        <v/>
      </c>
      <c r="K4" s="4">
        <f>IF(10&gt;hold_period_years,"",J4*(1+rent_annual_escalator))</f>
        <v/>
      </c>
    </row>
    <row r="5">
      <c r="A5" s="3" t="inlineStr">
        <is>
          <t>Annual rent</t>
        </is>
      </c>
      <c r="B5" s="4">
        <f>IF(1&gt;hold_period_years,"",B4*12)</f>
        <v/>
      </c>
      <c r="C5" s="4">
        <f>IF(2&gt;hold_period_years,"",C4*12)</f>
        <v/>
      </c>
      <c r="D5" s="4">
        <f>IF(3&gt;hold_period_years,"",D4*12)</f>
        <v/>
      </c>
      <c r="E5" s="4">
        <f>IF(4&gt;hold_period_years,"",E4*12)</f>
        <v/>
      </c>
      <c r="F5" s="4">
        <f>IF(5&gt;hold_period_years,"",F4*12)</f>
        <v/>
      </c>
      <c r="G5" s="4">
        <f>IF(6&gt;hold_period_years,"",G4*12)</f>
        <v/>
      </c>
      <c r="H5" s="4">
        <f>IF(7&gt;hold_period_years,"",H4*12)</f>
        <v/>
      </c>
      <c r="I5" s="4">
        <f>IF(8&gt;hold_period_years,"",I4*12)</f>
        <v/>
      </c>
      <c r="J5" s="4">
        <f>IF(9&gt;hold_period_years,"",J4*12)</f>
        <v/>
      </c>
      <c r="K5" s="4">
        <f>IF(10&gt;hold_period_years,"",K4*12)</f>
        <v/>
      </c>
    </row>
    <row r="7">
      <c r="A7" s="10" t="inlineStr">
        <is>
          <t>OPERATING EXPENSES</t>
        </is>
      </c>
    </row>
    <row r="8">
      <c r="A8" s="3" t="inlineStr">
        <is>
          <t>Mgmt fee</t>
        </is>
      </c>
      <c r="B8" s="4">
        <f>IF(1&gt;hold_period_years,"",B5*mgmt_fee_pct_of_rent)</f>
        <v/>
      </c>
      <c r="C8" s="4">
        <f>IF(2&gt;hold_period_years,"",C5*mgmt_fee_pct_of_rent)</f>
        <v/>
      </c>
      <c r="D8" s="4">
        <f>IF(3&gt;hold_period_years,"",D5*mgmt_fee_pct_of_rent)</f>
        <v/>
      </c>
      <c r="E8" s="4">
        <f>IF(4&gt;hold_period_years,"",E5*mgmt_fee_pct_of_rent)</f>
        <v/>
      </c>
      <c r="F8" s="4">
        <f>IF(5&gt;hold_period_years,"",F5*mgmt_fee_pct_of_rent)</f>
        <v/>
      </c>
      <c r="G8" s="4">
        <f>IF(6&gt;hold_period_years,"",G5*mgmt_fee_pct_of_rent)</f>
        <v/>
      </c>
      <c r="H8" s="4">
        <f>IF(7&gt;hold_period_years,"",H5*mgmt_fee_pct_of_rent)</f>
        <v/>
      </c>
      <c r="I8" s="4">
        <f>IF(8&gt;hold_period_years,"",I5*mgmt_fee_pct_of_rent)</f>
        <v/>
      </c>
      <c r="J8" s="4">
        <f>IF(9&gt;hold_period_years,"",J5*mgmt_fee_pct_of_rent)</f>
        <v/>
      </c>
      <c r="K8" s="4">
        <f>IF(10&gt;hold_period_years,"",K5*mgmt_fee_pct_of_rent)</f>
        <v/>
      </c>
    </row>
    <row r="9">
      <c r="A9" s="3" t="inlineStr">
        <is>
          <t>R&amp;M</t>
        </is>
      </c>
      <c r="B9" s="4">
        <f>IF(1&gt;hold_period_years,"",rm_annual)</f>
        <v/>
      </c>
      <c r="C9" s="4">
        <f>IF(2&gt;hold_period_years,"",rm_annual)</f>
        <v/>
      </c>
      <c r="D9" s="4">
        <f>IF(3&gt;hold_period_years,"",rm_annual)</f>
        <v/>
      </c>
      <c r="E9" s="4">
        <f>IF(4&gt;hold_period_years,"",rm_annual)</f>
        <v/>
      </c>
      <c r="F9" s="4">
        <f>IF(5&gt;hold_period_years,"",rm_annual)</f>
        <v/>
      </c>
      <c r="G9" s="4">
        <f>IF(6&gt;hold_period_years,"",rm_annual)</f>
        <v/>
      </c>
      <c r="H9" s="4">
        <f>IF(7&gt;hold_period_years,"",rm_annual)</f>
        <v/>
      </c>
      <c r="I9" s="4">
        <f>IF(8&gt;hold_period_years,"",rm_annual)</f>
        <v/>
      </c>
      <c r="J9" s="4">
        <f>IF(9&gt;hold_period_years,"",rm_annual)</f>
        <v/>
      </c>
      <c r="K9" s="4">
        <f>IF(10&gt;hold_period_years,"",rm_annual)</f>
        <v/>
      </c>
    </row>
    <row r="10">
      <c r="A10" s="3" t="inlineStr">
        <is>
          <t>Misc OpEx</t>
        </is>
      </c>
      <c r="B10" s="4">
        <f>IF(1&gt;hold_period_years,"",misc_annual)</f>
        <v/>
      </c>
      <c r="C10" s="4">
        <f>IF(2&gt;hold_period_years,"",misc_annual)</f>
        <v/>
      </c>
      <c r="D10" s="4">
        <f>IF(3&gt;hold_period_years,"",misc_annual)</f>
        <v/>
      </c>
      <c r="E10" s="4">
        <f>IF(4&gt;hold_period_years,"",misc_annual)</f>
        <v/>
      </c>
      <c r="F10" s="4">
        <f>IF(5&gt;hold_period_years,"",misc_annual)</f>
        <v/>
      </c>
      <c r="G10" s="4">
        <f>IF(6&gt;hold_period_years,"",misc_annual)</f>
        <v/>
      </c>
      <c r="H10" s="4">
        <f>IF(7&gt;hold_period_years,"",misc_annual)</f>
        <v/>
      </c>
      <c r="I10" s="4">
        <f>IF(8&gt;hold_period_years,"",misc_annual)</f>
        <v/>
      </c>
      <c r="J10" s="4">
        <f>IF(9&gt;hold_period_years,"",misc_annual)</f>
        <v/>
      </c>
      <c r="K10" s="4">
        <f>IF(10&gt;hold_period_years,"",misc_annual)</f>
        <v/>
      </c>
    </row>
    <row r="11">
      <c r="A11" s="3" t="inlineStr">
        <is>
          <t>Property tax</t>
        </is>
      </c>
      <c r="B11" s="4">
        <f>IF(1&gt;hold_period_years,"",IF(is_pure_nnn=1,0,property_tax_annual))</f>
        <v/>
      </c>
      <c r="C11" s="4">
        <f>IF(2&gt;hold_period_years,"",IF(is_pure_nnn=1,0,property_tax_annual))</f>
        <v/>
      </c>
      <c r="D11" s="4">
        <f>IF(3&gt;hold_period_years,"",IF(is_pure_nnn=1,0,property_tax_annual))</f>
        <v/>
      </c>
      <c r="E11" s="4">
        <f>IF(4&gt;hold_period_years,"",IF(is_pure_nnn=1,0,property_tax_annual))</f>
        <v/>
      </c>
      <c r="F11" s="4">
        <f>IF(5&gt;hold_period_years,"",IF(is_pure_nnn=1,0,property_tax_annual))</f>
        <v/>
      </c>
      <c r="G11" s="4">
        <f>IF(6&gt;hold_period_years,"",IF(is_pure_nnn=1,0,property_tax_annual))</f>
        <v/>
      </c>
      <c r="H11" s="4">
        <f>IF(7&gt;hold_period_years,"",IF(is_pure_nnn=1,0,property_tax_annual))</f>
        <v/>
      </c>
      <c r="I11" s="4">
        <f>IF(8&gt;hold_period_years,"",IF(is_pure_nnn=1,0,property_tax_annual))</f>
        <v/>
      </c>
      <c r="J11" s="4">
        <f>IF(9&gt;hold_period_years,"",IF(is_pure_nnn=1,0,property_tax_annual))</f>
        <v/>
      </c>
      <c r="K11" s="4">
        <f>IF(10&gt;hold_period_years,"",IF(is_pure_nnn=1,0,property_tax_annual))</f>
        <v/>
      </c>
    </row>
    <row r="12">
      <c r="A12" s="3" t="inlineStr">
        <is>
          <t>Insurance</t>
        </is>
      </c>
      <c r="B12" s="4">
        <f>IF(1&gt;hold_period_years,"",IF(is_pure_nnn=1,0,insurance_annual))</f>
        <v/>
      </c>
      <c r="C12" s="4">
        <f>IF(2&gt;hold_period_years,"",IF(is_pure_nnn=1,0,insurance_annual))</f>
        <v/>
      </c>
      <c r="D12" s="4">
        <f>IF(3&gt;hold_period_years,"",IF(is_pure_nnn=1,0,insurance_annual))</f>
        <v/>
      </c>
      <c r="E12" s="4">
        <f>IF(4&gt;hold_period_years,"",IF(is_pure_nnn=1,0,insurance_annual))</f>
        <v/>
      </c>
      <c r="F12" s="4">
        <f>IF(5&gt;hold_period_years,"",IF(is_pure_nnn=1,0,insurance_annual))</f>
        <v/>
      </c>
      <c r="G12" s="4">
        <f>IF(6&gt;hold_period_years,"",IF(is_pure_nnn=1,0,insurance_annual))</f>
        <v/>
      </c>
      <c r="H12" s="4">
        <f>IF(7&gt;hold_period_years,"",IF(is_pure_nnn=1,0,insurance_annual))</f>
        <v/>
      </c>
      <c r="I12" s="4">
        <f>IF(8&gt;hold_period_years,"",IF(is_pure_nnn=1,0,insurance_annual))</f>
        <v/>
      </c>
      <c r="J12" s="4">
        <f>IF(9&gt;hold_period_years,"",IF(is_pure_nnn=1,0,insurance_annual))</f>
        <v/>
      </c>
      <c r="K12" s="4">
        <f>IF(10&gt;hold_period_years,"",IF(is_pure_nnn=1,0,insurance_annual))</f>
        <v/>
      </c>
    </row>
    <row r="13">
      <c r="A13" s="20" t="inlineStr">
        <is>
          <t>Total OpEx</t>
        </is>
      </c>
      <c r="B13" s="21">
        <f>IF(1&gt;hold_period_years,"",SUM(B8:B12))</f>
        <v/>
      </c>
      <c r="C13" s="21">
        <f>IF(2&gt;hold_period_years,"",SUM(C8:C12))</f>
        <v/>
      </c>
      <c r="D13" s="21">
        <f>IF(3&gt;hold_period_years,"",SUM(D8:D12))</f>
        <v/>
      </c>
      <c r="E13" s="21">
        <f>IF(4&gt;hold_period_years,"",SUM(E8:E12))</f>
        <v/>
      </c>
      <c r="F13" s="21">
        <f>IF(5&gt;hold_period_years,"",SUM(F8:F12))</f>
        <v/>
      </c>
      <c r="G13" s="21">
        <f>IF(6&gt;hold_period_years,"",SUM(G8:G12))</f>
        <v/>
      </c>
      <c r="H13" s="21">
        <f>IF(7&gt;hold_period_years,"",SUM(H8:H12))</f>
        <v/>
      </c>
      <c r="I13" s="21">
        <f>IF(8&gt;hold_period_years,"",SUM(I8:I12))</f>
        <v/>
      </c>
      <c r="J13" s="21">
        <f>IF(9&gt;hold_period_years,"",SUM(J8:J12))</f>
        <v/>
      </c>
      <c r="K13" s="21">
        <f>IF(10&gt;hold_period_years,"",SUM(K8:K12))</f>
        <v/>
      </c>
    </row>
    <row r="15">
      <c r="A15" s="20" t="inlineStr">
        <is>
          <t>NOI</t>
        </is>
      </c>
      <c r="B15" s="9">
        <f>IF(1&gt;hold_period_years,"",B5-B13)</f>
        <v/>
      </c>
      <c r="C15" s="9">
        <f>IF(2&gt;hold_period_years,"",C5-C13)</f>
        <v/>
      </c>
      <c r="D15" s="9">
        <f>IF(3&gt;hold_period_years,"",D5-D13)</f>
        <v/>
      </c>
      <c r="E15" s="9">
        <f>IF(4&gt;hold_period_years,"",E5-E13)</f>
        <v/>
      </c>
      <c r="F15" s="9">
        <f>IF(5&gt;hold_period_years,"",F5-F13)</f>
        <v/>
      </c>
      <c r="G15" s="9">
        <f>IF(6&gt;hold_period_years,"",G5-G13)</f>
        <v/>
      </c>
      <c r="H15" s="9">
        <f>IF(7&gt;hold_period_years,"",H5-H13)</f>
        <v/>
      </c>
      <c r="I15" s="9">
        <f>IF(8&gt;hold_period_years,"",I5-I13)</f>
        <v/>
      </c>
      <c r="J15" s="9">
        <f>IF(9&gt;hold_period_years,"",J5-J13)</f>
        <v/>
      </c>
      <c r="K15" s="9">
        <f>IF(10&gt;hold_period_years,"",K5-K13)</f>
        <v/>
      </c>
    </row>
    <row r="17">
      <c r="A17" s="3" t="inlineStr">
        <is>
          <t>Loan amount</t>
        </is>
      </c>
      <c r="B17" s="4">
        <f>IF(1&gt;hold_period_years,"",purchase_price*loan_to_value)</f>
        <v/>
      </c>
      <c r="C17" s="4">
        <f>IF(2&gt;hold_period_years,"",purchase_price*loan_to_value)</f>
        <v/>
      </c>
      <c r="D17" s="4">
        <f>IF(3&gt;hold_period_years,"",purchase_price*loan_to_value)</f>
        <v/>
      </c>
      <c r="E17" s="4">
        <f>IF(4&gt;hold_period_years,"",purchase_price*loan_to_value)</f>
        <v/>
      </c>
      <c r="F17" s="4">
        <f>IF(5&gt;hold_period_years,"",purchase_price*loan_to_value)</f>
        <v/>
      </c>
      <c r="G17" s="4">
        <f>IF(6&gt;hold_period_years,"",purchase_price*loan_to_value)</f>
        <v/>
      </c>
      <c r="H17" s="4">
        <f>IF(7&gt;hold_period_years,"",purchase_price*loan_to_value)</f>
        <v/>
      </c>
      <c r="I17" s="4">
        <f>IF(8&gt;hold_period_years,"",purchase_price*loan_to_value)</f>
        <v/>
      </c>
      <c r="J17" s="4">
        <f>IF(9&gt;hold_period_years,"",purchase_price*loan_to_value)</f>
        <v/>
      </c>
      <c r="K17" s="4">
        <f>IF(10&gt;hold_period_years,"",purchase_price*loan_to_value)</f>
        <v/>
      </c>
    </row>
    <row r="18">
      <c r="A18" s="3" t="inlineStr">
        <is>
          <t>Annual debt service</t>
        </is>
      </c>
      <c r="B18" s="4">
        <f>IF(1&gt;hold_period_years,"",-PMT(loan_interest_rate/12,loan_amortization_years*12,purchase_price*loan_to_value)*12)</f>
        <v/>
      </c>
      <c r="C18" s="4">
        <f>IF(2&gt;hold_period_years,"",-PMT(loan_interest_rate/12,loan_amortization_years*12,purchase_price*loan_to_value)*12)</f>
        <v/>
      </c>
      <c r="D18" s="4">
        <f>IF(3&gt;hold_period_years,"",-PMT(loan_interest_rate/12,loan_amortization_years*12,purchase_price*loan_to_value)*12)</f>
        <v/>
      </c>
      <c r="E18" s="4">
        <f>IF(4&gt;hold_period_years,"",-PMT(loan_interest_rate/12,loan_amortization_years*12,purchase_price*loan_to_value)*12)</f>
        <v/>
      </c>
      <c r="F18" s="4">
        <f>IF(5&gt;hold_period_years,"",-PMT(loan_interest_rate/12,loan_amortization_years*12,purchase_price*loan_to_value)*12)</f>
        <v/>
      </c>
      <c r="G18" s="4">
        <f>IF(6&gt;hold_period_years,"",-PMT(loan_interest_rate/12,loan_amortization_years*12,purchase_price*loan_to_value)*12)</f>
        <v/>
      </c>
      <c r="H18" s="4">
        <f>IF(7&gt;hold_period_years,"",-PMT(loan_interest_rate/12,loan_amortization_years*12,purchase_price*loan_to_value)*12)</f>
        <v/>
      </c>
      <c r="I18" s="4">
        <f>IF(8&gt;hold_period_years,"",-PMT(loan_interest_rate/12,loan_amortization_years*12,purchase_price*loan_to_value)*12)</f>
        <v/>
      </c>
      <c r="J18" s="4">
        <f>IF(9&gt;hold_period_years,"",-PMT(loan_interest_rate/12,loan_amortization_years*12,purchase_price*loan_to_value)*12)</f>
        <v/>
      </c>
      <c r="K18" s="4">
        <f>IF(10&gt;hold_period_years,"",-PMT(loan_interest_rate/12,loan_amortization_years*12,purchase_price*loan_to_value)*12)</f>
        <v/>
      </c>
    </row>
    <row r="19">
      <c r="A19" s="20" t="inlineStr">
        <is>
          <t>Cash flow (after debt)</t>
        </is>
      </c>
      <c r="B19" s="9">
        <f>IF(1&gt;hold_period_years,"",B15-B18)</f>
        <v/>
      </c>
      <c r="C19" s="9">
        <f>IF(2&gt;hold_period_years,"",C15-C18)</f>
        <v/>
      </c>
      <c r="D19" s="9">
        <f>IF(3&gt;hold_period_years,"",D15-D18)</f>
        <v/>
      </c>
      <c r="E19" s="9">
        <f>IF(4&gt;hold_period_years,"",E15-E18)</f>
        <v/>
      </c>
      <c r="F19" s="9">
        <f>IF(5&gt;hold_period_years,"",F15-F18)</f>
        <v/>
      </c>
      <c r="G19" s="9">
        <f>IF(6&gt;hold_period_years,"",G15-G18)</f>
        <v/>
      </c>
      <c r="H19" s="9">
        <f>IF(7&gt;hold_period_years,"",H15-H18)</f>
        <v/>
      </c>
      <c r="I19" s="9">
        <f>IF(8&gt;hold_period_years,"",I15-I18)</f>
        <v/>
      </c>
      <c r="J19" s="9">
        <f>IF(9&gt;hold_period_years,"",J15-J18)</f>
        <v/>
      </c>
      <c r="K19" s="9">
        <f>IF(10&gt;hold_period_years,"",K15-K18)</f>
        <v/>
      </c>
    </row>
    <row r="21">
      <c r="A21" s="3" t="inlineStr">
        <is>
          <t>Property value (at exit cap)</t>
        </is>
      </c>
      <c r="B21" s="4">
        <f>IF(1&gt;hold_period_years,"",B15/exit_cap_rate)</f>
        <v/>
      </c>
      <c r="C21" s="4">
        <f>IF(2&gt;hold_period_years,"",C15/exit_cap_rate)</f>
        <v/>
      </c>
      <c r="D21" s="4">
        <f>IF(3&gt;hold_period_years,"",D15/exit_cap_rate)</f>
        <v/>
      </c>
      <c r="E21" s="4">
        <f>IF(4&gt;hold_period_years,"",E15/exit_cap_rate)</f>
        <v/>
      </c>
      <c r="F21" s="4">
        <f>IF(5&gt;hold_period_years,"",F15/exit_cap_rate)</f>
        <v/>
      </c>
      <c r="G21" s="4">
        <f>IF(6&gt;hold_period_years,"",G15/exit_cap_rate)</f>
        <v/>
      </c>
      <c r="H21" s="4">
        <f>IF(7&gt;hold_period_years,"",H15/exit_cap_rate)</f>
        <v/>
      </c>
      <c r="I21" s="4">
        <f>IF(8&gt;hold_period_years,"",I15/exit_cap_rate)</f>
        <v/>
      </c>
      <c r="J21" s="4">
        <f>IF(9&gt;hold_period_years,"",J15/exit_cap_rate)</f>
        <v/>
      </c>
      <c r="K21" s="4">
        <f>IF(10&gt;hold_period_years,"",K15/exit_cap_rate)</f>
        <v/>
      </c>
    </row>
  </sheetData>
  <mergeCells count="2">
    <mergeCell ref="A1:K1"/>
    <mergeCell ref="A7: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26" customHeight="1">
      <c r="A1" s="1" t="inlineStr">
        <is>
          <t>THE BUY — Equity &amp; Mortgage</t>
        </is>
      </c>
    </row>
    <row r="3">
      <c r="A3" s="3" t="inlineStr">
        <is>
          <t>Purchase price</t>
        </is>
      </c>
      <c r="B3" s="4">
        <f>purchase_price</f>
        <v/>
      </c>
    </row>
    <row r="4">
      <c r="A4" s="3" t="inlineStr">
        <is>
          <t>Title fees</t>
        </is>
      </c>
      <c r="B4" s="4">
        <f>title_fees</f>
        <v/>
      </c>
    </row>
    <row r="5">
      <c r="A5" s="3" t="inlineStr">
        <is>
          <t>Earnest money</t>
        </is>
      </c>
      <c r="B5" s="4">
        <f>-earnest_money</f>
        <v/>
      </c>
    </row>
    <row r="6">
      <c r="A6" s="3" t="inlineStr">
        <is>
          <t>Loan costs</t>
        </is>
      </c>
      <c r="B6" s="4">
        <f>purchase_price*loan_to_value*loan_costs_pct + loan_costs_fixed</f>
        <v/>
      </c>
    </row>
    <row r="7">
      <c r="A7" s="3" t="inlineStr">
        <is>
          <t>Loan</t>
        </is>
      </c>
      <c r="B7" s="4">
        <f>-purchase_price*loan_to_value</f>
        <v/>
      </c>
    </row>
    <row r="8">
      <c r="A8" s="3" t="inlineStr">
        <is>
          <t>Reserve</t>
        </is>
      </c>
      <c r="B8" s="4">
        <f>reserve</f>
        <v/>
      </c>
    </row>
    <row r="9">
      <c r="A9" s="20" t="inlineStr">
        <is>
          <t>Equity required</t>
        </is>
      </c>
      <c r="B9" s="9">
        <f>SUM(B3:B8)</f>
        <v/>
      </c>
    </row>
    <row r="11">
      <c r="A11" s="20" t="inlineStr">
        <is>
          <t>Mortgage Calculator</t>
        </is>
      </c>
    </row>
    <row r="12">
      <c r="A12" s="3" t="inlineStr">
        <is>
          <t>Loan amount</t>
        </is>
      </c>
      <c r="B12" s="4">
        <f>purchase_price*loan_to_value</f>
        <v/>
      </c>
    </row>
    <row r="13">
      <c r="A13" s="3" t="inlineStr">
        <is>
          <t>Annual interest rate</t>
        </is>
      </c>
      <c r="B13" s="7">
        <f>loan_interest_rate</f>
        <v/>
      </c>
    </row>
    <row r="14">
      <c r="A14" s="3" t="inlineStr">
        <is>
          <t>Amortization (yrs)</t>
        </is>
      </c>
      <c r="B14" s="6">
        <f>loan_amortization_years</f>
        <v/>
      </c>
    </row>
    <row r="15">
      <c r="A15" s="3" t="inlineStr">
        <is>
          <t>Monthly payment</t>
        </is>
      </c>
      <c r="B15" s="8">
        <f>-PMT(loan_interest_rate/12,loan_amortization_years*12,purchase_price*loan_to_value)</f>
        <v/>
      </c>
    </row>
    <row r="16">
      <c r="A16" s="3" t="inlineStr">
        <is>
          <t>Annual payment</t>
        </is>
      </c>
      <c r="B16" s="4">
        <f>B15*12</f>
        <v/>
      </c>
    </row>
    <row r="17">
      <c r="A17" s="3" t="inlineStr">
        <is>
          <t>Total payments</t>
        </is>
      </c>
      <c r="B17" s="4">
        <f>B15*loan_amortization_years*12</f>
        <v/>
      </c>
    </row>
    <row r="18">
      <c r="A18" s="3" t="inlineStr">
        <is>
          <t>Interest cost</t>
        </is>
      </c>
      <c r="B18" s="4">
        <f>B17-B12</f>
        <v/>
      </c>
    </row>
    <row r="19">
      <c r="A19" s="3" t="inlineStr">
        <is>
          <t>Annual principal (yr1)</t>
        </is>
      </c>
      <c r="B19" s="4">
        <f>B16-(B12*loan_interest_rate)</f>
        <v/>
      </c>
    </row>
    <row r="20">
      <c r="A20" s="3" t="inlineStr">
        <is>
          <t>Cumulative principal at exit</t>
        </is>
      </c>
      <c r="B20" s="4">
        <f>B19*hold_period_years</f>
        <v/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28" customWidth="1" min="7" max="7"/>
  </cols>
  <sheetData>
    <row r="1" ht="26" customHeight="1">
      <c r="A1" s="1" t="inlineStr">
        <is>
          <t>INVESTOR TEAM — Cap Stack</t>
        </is>
      </c>
    </row>
    <row r="2">
      <c r="A2" s="2" t="inlineStr">
        <is>
          <t>Yellow = editable. Equal-Lock Group: members with same group # split that group's combined % equally. Auto-Deduct: exactly one row's % auto-fills as 100% − sum(others).</t>
        </is>
      </c>
    </row>
    <row r="4">
      <c r="A4" s="19" t="inlineStr">
        <is>
          <t>#</t>
        </is>
      </c>
      <c r="B4" s="19" t="inlineStr">
        <is>
          <t>Name</t>
        </is>
      </c>
      <c r="C4" s="19" t="inlineStr">
        <is>
          <t>Contribution</t>
        </is>
      </c>
      <c r="D4" s="19" t="inlineStr">
        <is>
          <t>Ownership %</t>
        </is>
      </c>
      <c r="E4" s="19" t="inlineStr">
        <is>
          <t>Group</t>
        </is>
      </c>
      <c r="F4" s="19" t="inlineStr">
        <is>
          <t>Auto-Deduct?</t>
        </is>
      </c>
      <c r="G4" s="19" t="inlineStr">
        <is>
          <t>Notes</t>
        </is>
      </c>
    </row>
    <row r="5">
      <c r="A5" s="22" t="n">
        <v>1</v>
      </c>
      <c r="B5" s="23" t="inlineStr">
        <is>
          <t>John A</t>
        </is>
      </c>
      <c r="C5" s="14" t="n">
        <v>70000</v>
      </c>
      <c r="D5" s="15" t="n">
        <v>0.14</v>
      </c>
      <c r="E5" s="17" t="n">
        <v>1</v>
      </c>
      <c r="F5" s="17" t="n">
        <v>0</v>
      </c>
      <c r="G5" s="23" t="inlineStr"/>
    </row>
    <row r="6">
      <c r="A6" s="22" t="n">
        <v>2</v>
      </c>
      <c r="B6" s="23" t="inlineStr">
        <is>
          <t>Nell</t>
        </is>
      </c>
      <c r="C6" s="14" t="n">
        <v>70000</v>
      </c>
      <c r="D6" s="15" t="n">
        <v>0.14</v>
      </c>
      <c r="E6" s="17" t="n">
        <v>1</v>
      </c>
      <c r="F6" s="17" t="n">
        <v>0</v>
      </c>
      <c r="G6" s="23" t="inlineStr"/>
    </row>
    <row r="7">
      <c r="A7" s="22" t="n">
        <v>3</v>
      </c>
      <c r="B7" s="23" t="inlineStr">
        <is>
          <t>John C</t>
        </is>
      </c>
      <c r="C7" s="14" t="n">
        <v>70000</v>
      </c>
      <c r="D7" s="15" t="n">
        <v>0.14</v>
      </c>
      <c r="E7" s="17" t="n">
        <v>1</v>
      </c>
      <c r="F7" s="17" t="n">
        <v>0</v>
      </c>
      <c r="G7" s="23" t="inlineStr"/>
    </row>
    <row r="8">
      <c r="A8" s="22" t="n">
        <v>4</v>
      </c>
      <c r="B8" s="23" t="inlineStr">
        <is>
          <t>Steve</t>
        </is>
      </c>
      <c r="C8" s="14" t="n">
        <v>70000</v>
      </c>
      <c r="D8" s="15" t="n">
        <v>0.14</v>
      </c>
      <c r="E8" s="17" t="n">
        <v>1</v>
      </c>
      <c r="F8" s="17" t="n">
        <v>0</v>
      </c>
      <c r="G8" s="23" t="inlineStr"/>
    </row>
    <row r="9">
      <c r="A9" s="22" t="n">
        <v>5</v>
      </c>
      <c r="B9" s="23" t="inlineStr">
        <is>
          <t>Earnest Money</t>
        </is>
      </c>
      <c r="C9" s="14" t="n">
        <v>20000</v>
      </c>
      <c r="D9" s="15" t="n">
        <v>0.04</v>
      </c>
      <c r="E9" s="17" t="inlineStr"/>
      <c r="F9" s="17" t="n">
        <v>0</v>
      </c>
      <c r="G9" s="23" t="inlineStr">
        <is>
          <t>Dedicated EM slot</t>
        </is>
      </c>
    </row>
    <row r="10">
      <c r="A10" s="22" t="n">
        <v>6</v>
      </c>
      <c r="B10" s="23" t="inlineStr">
        <is>
          <t>John E (operator)</t>
        </is>
      </c>
      <c r="C10" s="14" t="n">
        <v>0</v>
      </c>
      <c r="D10" s="15" t="n">
        <v>0.4</v>
      </c>
      <c r="E10" s="17" t="inlineStr"/>
      <c r="F10" s="17" t="n">
        <v>1</v>
      </c>
      <c r="G10" s="23" t="inlineStr">
        <is>
          <t>Auto-deduct: 100% − sum(others)</t>
        </is>
      </c>
    </row>
    <row r="11">
      <c r="A11" s="22" t="n">
        <v>7</v>
      </c>
      <c r="B11" s="11" t="inlineStr"/>
      <c r="C11" s="14" t="n"/>
      <c r="D11" s="15" t="n"/>
      <c r="E11" s="17" t="n"/>
      <c r="F11" s="17" t="n"/>
      <c r="G11" s="11" t="inlineStr"/>
    </row>
    <row r="12">
      <c r="A12" s="22" t="n">
        <v>8</v>
      </c>
      <c r="B12" s="11" t="inlineStr"/>
      <c r="C12" s="14" t="n"/>
      <c r="D12" s="15" t="n"/>
      <c r="E12" s="17" t="n"/>
      <c r="F12" s="17" t="n"/>
      <c r="G12" s="11" t="inlineStr"/>
    </row>
    <row r="13">
      <c r="A13" s="22" t="n">
        <v>9</v>
      </c>
      <c r="B13" s="11" t="inlineStr"/>
      <c r="C13" s="14" t="n"/>
      <c r="D13" s="15" t="n"/>
      <c r="E13" s="17" t="n"/>
      <c r="F13" s="17" t="n"/>
      <c r="G13" s="11" t="inlineStr"/>
    </row>
    <row r="14">
      <c r="A14" s="22" t="n">
        <v>10</v>
      </c>
      <c r="B14" s="11" t="inlineStr"/>
      <c r="C14" s="14" t="n"/>
      <c r="D14" s="15" t="n"/>
      <c r="E14" s="17" t="n"/>
      <c r="F14" s="17" t="n"/>
      <c r="G14" s="11" t="inlineStr"/>
    </row>
    <row r="15">
      <c r="A15" s="22" t="n">
        <v>11</v>
      </c>
      <c r="B15" s="11" t="inlineStr"/>
      <c r="C15" s="14" t="n"/>
      <c r="D15" s="15" t="n"/>
      <c r="E15" s="17" t="n"/>
      <c r="F15" s="17" t="n"/>
      <c r="G15" s="11" t="inlineStr"/>
    </row>
    <row r="16">
      <c r="A16" s="22" t="n">
        <v>12</v>
      </c>
      <c r="B16" s="11" t="inlineStr"/>
      <c r="C16" s="14" t="n"/>
      <c r="D16" s="15" t="n"/>
      <c r="E16" s="17" t="n"/>
      <c r="F16" s="17" t="n"/>
      <c r="G16" s="11" t="inlineStr"/>
    </row>
    <row r="18">
      <c r="B18" s="20" t="inlineStr">
        <is>
          <t>TOTAL</t>
        </is>
      </c>
      <c r="C18" s="9">
        <f>SUM(C5:C16)</f>
        <v/>
      </c>
      <c r="D18" s="24">
        <f>SUM(D5:D16)</f>
        <v/>
      </c>
    </row>
    <row r="19">
      <c r="B19" s="3" t="inlineStr">
        <is>
          <t>Sum to 100%?</t>
        </is>
      </c>
      <c r="D19" s="25">
        <f>IF(ROUND(D18,4)=1,"YES — OK to save","NO — fix before saving")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SALE — Year-N Exit Waterfall</t>
        </is>
      </c>
    </row>
    <row r="3">
      <c r="A3" s="3" t="inlineStr">
        <is>
          <t>Year-N NOI</t>
        </is>
      </c>
      <c r="B3" s="4">
        <f>INDEX(NOI!B15:K15,1,hold_period_years)</f>
        <v/>
      </c>
    </row>
    <row r="4">
      <c r="A4" s="20" t="inlineStr">
        <is>
          <t>Sale price (NOI / cap)</t>
        </is>
      </c>
      <c r="B4" s="9">
        <f>B3/exit_cap_rate</f>
        <v/>
      </c>
    </row>
    <row r="5">
      <c r="A5" s="3" t="inlineStr">
        <is>
          <t>Sale title fees</t>
        </is>
      </c>
      <c r="B5" s="4">
        <f>-B4*sale_title_fee_pct</f>
        <v/>
      </c>
    </row>
    <row r="6">
      <c r="A6" s="3" t="inlineStr">
        <is>
          <t>Loan payoff at exit</t>
        </is>
      </c>
      <c r="B6" s="4">
        <f>-(loan_amount-cum_principal_at_exit)</f>
        <v/>
      </c>
    </row>
    <row r="8">
      <c r="A8" s="20" t="inlineStr">
        <is>
          <t>Net cash to LLC</t>
        </is>
      </c>
      <c r="B8" s="9">
        <f>B4+B5+B6</f>
        <v/>
      </c>
    </row>
    <row r="9">
      <c r="A9" s="3" t="inlineStr">
        <is>
          <t>Equity returned</t>
        </is>
      </c>
      <c r="B9" s="4">
        <f>-SUM('Investor Team'!C5:C16)</f>
        <v/>
      </c>
    </row>
    <row r="11">
      <c r="A11" s="20" t="inlineStr">
        <is>
          <t>TOTAL PROFIT</t>
        </is>
      </c>
      <c r="B11" s="9">
        <f>B8+B9</f>
        <v/>
      </c>
    </row>
    <row r="13">
      <c r="A13" s="10" t="inlineStr">
        <is>
          <t>DISTRIBUTION BY INVESTOR</t>
        </is>
      </c>
    </row>
    <row r="14">
      <c r="A14" s="19" t="inlineStr">
        <is>
          <t>Member</t>
        </is>
      </c>
      <c r="B14" s="19" t="inlineStr">
        <is>
          <t>Initial $</t>
        </is>
      </c>
      <c r="C14" s="19" t="inlineStr">
        <is>
          <t>% Profit Share</t>
        </is>
      </c>
      <c r="D14" s="19" t="inlineStr">
        <is>
          <t>Profit</t>
        </is>
      </c>
    </row>
    <row r="15">
      <c r="A15" s="26">
        <f>'Investor Team'!B5</f>
        <v/>
      </c>
      <c r="B15" s="4">
        <f>'Investor Team'!C5</f>
        <v/>
      </c>
      <c r="C15" s="5">
        <f>'Investor Team'!D5</f>
        <v/>
      </c>
      <c r="D15" s="4">
        <f>IF('Investor Team'!D5="",0,'Investor Team'!D5*$B$11)</f>
        <v/>
      </c>
    </row>
    <row r="16">
      <c r="A16" s="26">
        <f>'Investor Team'!B6</f>
        <v/>
      </c>
      <c r="B16" s="4">
        <f>'Investor Team'!C6</f>
        <v/>
      </c>
      <c r="C16" s="5">
        <f>'Investor Team'!D6</f>
        <v/>
      </c>
      <c r="D16" s="4">
        <f>IF('Investor Team'!D6="",0,'Investor Team'!D6*$B$11)</f>
        <v/>
      </c>
    </row>
    <row r="17">
      <c r="A17" s="26">
        <f>'Investor Team'!B7</f>
        <v/>
      </c>
      <c r="B17" s="4">
        <f>'Investor Team'!C7</f>
        <v/>
      </c>
      <c r="C17" s="5">
        <f>'Investor Team'!D7</f>
        <v/>
      </c>
      <c r="D17" s="4">
        <f>IF('Investor Team'!D7="",0,'Investor Team'!D7*$B$11)</f>
        <v/>
      </c>
    </row>
    <row r="18">
      <c r="A18" s="26">
        <f>'Investor Team'!B8</f>
        <v/>
      </c>
      <c r="B18" s="4">
        <f>'Investor Team'!C8</f>
        <v/>
      </c>
      <c r="C18" s="5">
        <f>'Investor Team'!D8</f>
        <v/>
      </c>
      <c r="D18" s="4">
        <f>IF('Investor Team'!D8="",0,'Investor Team'!D8*$B$11)</f>
        <v/>
      </c>
    </row>
    <row r="19">
      <c r="A19" s="26">
        <f>'Investor Team'!B9</f>
        <v/>
      </c>
      <c r="B19" s="4">
        <f>'Investor Team'!C9</f>
        <v/>
      </c>
      <c r="C19" s="5">
        <f>'Investor Team'!D9</f>
        <v/>
      </c>
      <c r="D19" s="4">
        <f>IF('Investor Team'!D9="",0,'Investor Team'!D9*$B$11)</f>
        <v/>
      </c>
    </row>
    <row r="20">
      <c r="A20" s="26">
        <f>'Investor Team'!B10</f>
        <v/>
      </c>
      <c r="B20" s="4">
        <f>'Investor Team'!C10</f>
        <v/>
      </c>
      <c r="C20" s="5">
        <f>'Investor Team'!D10</f>
        <v/>
      </c>
      <c r="D20" s="4">
        <f>IF('Investor Team'!D10="",0,'Investor Team'!D10*$B$11)</f>
        <v/>
      </c>
    </row>
    <row r="21">
      <c r="A21" s="26">
        <f>'Investor Team'!B11</f>
        <v/>
      </c>
      <c r="B21" s="4">
        <f>'Investor Team'!C11</f>
        <v/>
      </c>
      <c r="C21" s="5">
        <f>'Investor Team'!D11</f>
        <v/>
      </c>
      <c r="D21" s="4">
        <f>IF('Investor Team'!D11="",0,'Investor Team'!D11*$B$11)</f>
        <v/>
      </c>
    </row>
    <row r="22">
      <c r="A22" s="26">
        <f>'Investor Team'!B12</f>
        <v/>
      </c>
      <c r="B22" s="4">
        <f>'Investor Team'!C12</f>
        <v/>
      </c>
      <c r="C22" s="5">
        <f>'Investor Team'!D12</f>
        <v/>
      </c>
      <c r="D22" s="4">
        <f>IF('Investor Team'!D12="",0,'Investor Team'!D12*$B$11)</f>
        <v/>
      </c>
    </row>
    <row r="23">
      <c r="A23" s="26">
        <f>'Investor Team'!B13</f>
        <v/>
      </c>
      <c r="B23" s="4">
        <f>'Investor Team'!C13</f>
        <v/>
      </c>
      <c r="C23" s="5">
        <f>'Investor Team'!D13</f>
        <v/>
      </c>
      <c r="D23" s="4">
        <f>IF('Investor Team'!D13="",0,'Investor Team'!D13*$B$11)</f>
        <v/>
      </c>
    </row>
    <row r="24">
      <c r="A24" s="26">
        <f>'Investor Team'!B14</f>
        <v/>
      </c>
      <c r="B24" s="4">
        <f>'Investor Team'!C14</f>
        <v/>
      </c>
      <c r="C24" s="5">
        <f>'Investor Team'!D14</f>
        <v/>
      </c>
      <c r="D24" s="4">
        <f>IF('Investor Team'!D14="",0,'Investor Team'!D14*$B$11)</f>
        <v/>
      </c>
    </row>
    <row r="25">
      <c r="A25" s="26">
        <f>'Investor Team'!B15</f>
        <v/>
      </c>
      <c r="B25" s="4">
        <f>'Investor Team'!C15</f>
        <v/>
      </c>
      <c r="C25" s="5">
        <f>'Investor Team'!D15</f>
        <v/>
      </c>
      <c r="D25" s="4">
        <f>IF('Investor Team'!D15="",0,'Investor Team'!D15*$B$11)</f>
        <v/>
      </c>
    </row>
    <row r="26">
      <c r="A26" s="26">
        <f>'Investor Team'!B16</f>
        <v/>
      </c>
      <c r="B26" s="4">
        <f>'Investor Team'!C16</f>
        <v/>
      </c>
      <c r="C26" s="5">
        <f>'Investor Team'!D16</f>
        <v/>
      </c>
      <c r="D26" s="4">
        <f>IF('Investor Team'!D16="",0,'Investor Team'!D16*$B$11)</f>
        <v/>
      </c>
    </row>
  </sheetData>
  <mergeCells count="2">
    <mergeCell ref="A1:D1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6" customHeight="1">
      <c r="A1" s="1" t="inlineStr">
        <is>
          <t>SENSITIVITY — How the deal moves under different inputs</t>
        </is>
      </c>
    </row>
    <row r="3">
      <c r="A3" s="10" t="inlineStr">
        <is>
          <t>TABLE 1 — Year N sale value:  rent × exit cap rate</t>
        </is>
      </c>
    </row>
    <row r="5">
      <c r="A5" s="20" t="inlineStr">
        <is>
          <t>Yr1 Rent ↓ / Cap Rate →</t>
        </is>
      </c>
      <c r="B5" s="27" t="n">
        <v>0.06</v>
      </c>
      <c r="C5" s="27" t="n">
        <v>0.065</v>
      </c>
      <c r="D5" s="27" t="n">
        <v>0.07000000000000001</v>
      </c>
      <c r="E5" s="27" t="n">
        <v>0.075</v>
      </c>
      <c r="F5" s="27" t="n">
        <v>0.08</v>
      </c>
      <c r="G5" s="27" t="n">
        <v>0.08500000000000001</v>
      </c>
      <c r="H5" s="27" t="n">
        <v>0.09</v>
      </c>
      <c r="I5" s="27" t="n">
        <v>0.095</v>
      </c>
      <c r="J5" s="27" t="n">
        <v>0.1</v>
      </c>
    </row>
    <row r="6">
      <c r="A6" s="28" t="n">
        <v>7000</v>
      </c>
      <c r="B6" s="4">
        <f>(7000*(1+rent_annual_escalator)^(hold_period_years-1)*12 - (7000*(1+rent_annual_escalator)^(hold_period_years-1)*12*mgmt_fee_pct_of_rent + rm_annual + misc_annual + IF(is_pure_nnn=1,0,property_tax_annual+insurance_annual))) / 0.06</f>
        <v/>
      </c>
      <c r="C6" s="4">
        <f>(7000*(1+rent_annual_escalator)^(hold_period_years-1)*12 - (7000*(1+rent_annual_escalator)^(hold_period_years-1)*12*mgmt_fee_pct_of_rent + rm_annual + misc_annual + IF(is_pure_nnn=1,0,property_tax_annual+insurance_annual))) / 0.065</f>
        <v/>
      </c>
      <c r="D6" s="4">
        <f>(7000*(1+rent_annual_escalator)^(hold_period_years-1)*12 - (7000*(1+rent_annual_escalator)^(hold_period_years-1)*12*mgmt_fee_pct_of_rent + rm_annual + misc_annual + IF(is_pure_nnn=1,0,property_tax_annual+insurance_annual))) / 0.07</f>
        <v/>
      </c>
      <c r="E6" s="4">
        <f>(7000*(1+rent_annual_escalator)^(hold_period_years-1)*12 - (7000*(1+rent_annual_escalator)^(hold_period_years-1)*12*mgmt_fee_pct_of_rent + rm_annual + misc_annual + IF(is_pure_nnn=1,0,property_tax_annual+insurance_annual))) / 0.075</f>
        <v/>
      </c>
      <c r="F6" s="4">
        <f>(7000*(1+rent_annual_escalator)^(hold_period_years-1)*12 - (7000*(1+rent_annual_escalator)^(hold_period_years-1)*12*mgmt_fee_pct_of_rent + rm_annual + misc_annual + IF(is_pure_nnn=1,0,property_tax_annual+insurance_annual))) / 0.08</f>
        <v/>
      </c>
      <c r="G6" s="4">
        <f>(7000*(1+rent_annual_escalator)^(hold_period_years-1)*12 - (7000*(1+rent_annual_escalator)^(hold_period_years-1)*12*mgmt_fee_pct_of_rent + rm_annual + misc_annual + IF(is_pure_nnn=1,0,property_tax_annual+insurance_annual))) / 0.085</f>
        <v/>
      </c>
      <c r="H6" s="4">
        <f>(7000*(1+rent_annual_escalator)^(hold_period_years-1)*12 - (7000*(1+rent_annual_escalator)^(hold_period_years-1)*12*mgmt_fee_pct_of_rent + rm_annual + misc_annual + IF(is_pure_nnn=1,0,property_tax_annual+insurance_annual))) / 0.09</f>
        <v/>
      </c>
      <c r="I6" s="4">
        <f>(7000*(1+rent_annual_escalator)^(hold_period_years-1)*12 - (7000*(1+rent_annual_escalator)^(hold_period_years-1)*12*mgmt_fee_pct_of_rent + rm_annual + misc_annual + IF(is_pure_nnn=1,0,property_tax_annual+insurance_annual))) / 0.095</f>
        <v/>
      </c>
      <c r="J6" s="4">
        <f>(7000*(1+rent_annual_escalator)^(hold_period_years-1)*12 - (7000*(1+rent_annual_escalator)^(hold_period_years-1)*12*mgmt_fee_pct_of_rent + rm_annual + misc_annual + IF(is_pure_nnn=1,0,property_tax_annual+insurance_annual))) / 0.1</f>
        <v/>
      </c>
    </row>
    <row r="7">
      <c r="A7" s="28" t="n">
        <v>7500</v>
      </c>
      <c r="B7" s="4">
        <f>(7500*(1+rent_annual_escalator)^(hold_period_years-1)*12 - (7500*(1+rent_annual_escalator)^(hold_period_years-1)*12*mgmt_fee_pct_of_rent + rm_annual + misc_annual + IF(is_pure_nnn=1,0,property_tax_annual+insurance_annual))) / 0.06</f>
        <v/>
      </c>
      <c r="C7" s="4">
        <f>(7500*(1+rent_annual_escalator)^(hold_period_years-1)*12 - (7500*(1+rent_annual_escalator)^(hold_period_years-1)*12*mgmt_fee_pct_of_rent + rm_annual + misc_annual + IF(is_pure_nnn=1,0,property_tax_annual+insurance_annual))) / 0.065</f>
        <v/>
      </c>
      <c r="D7" s="4">
        <f>(7500*(1+rent_annual_escalator)^(hold_period_years-1)*12 - (7500*(1+rent_annual_escalator)^(hold_period_years-1)*12*mgmt_fee_pct_of_rent + rm_annual + misc_annual + IF(is_pure_nnn=1,0,property_tax_annual+insurance_annual))) / 0.07</f>
        <v/>
      </c>
      <c r="E7" s="4">
        <f>(7500*(1+rent_annual_escalator)^(hold_period_years-1)*12 - (7500*(1+rent_annual_escalator)^(hold_period_years-1)*12*mgmt_fee_pct_of_rent + rm_annual + misc_annual + IF(is_pure_nnn=1,0,property_tax_annual+insurance_annual))) / 0.075</f>
        <v/>
      </c>
      <c r="F7" s="4">
        <f>(7500*(1+rent_annual_escalator)^(hold_period_years-1)*12 - (7500*(1+rent_annual_escalator)^(hold_period_years-1)*12*mgmt_fee_pct_of_rent + rm_annual + misc_annual + IF(is_pure_nnn=1,0,property_tax_annual+insurance_annual))) / 0.08</f>
        <v/>
      </c>
      <c r="G7" s="4">
        <f>(7500*(1+rent_annual_escalator)^(hold_period_years-1)*12 - (7500*(1+rent_annual_escalator)^(hold_period_years-1)*12*mgmt_fee_pct_of_rent + rm_annual + misc_annual + IF(is_pure_nnn=1,0,property_tax_annual+insurance_annual))) / 0.085</f>
        <v/>
      </c>
      <c r="H7" s="4">
        <f>(7500*(1+rent_annual_escalator)^(hold_period_years-1)*12 - (7500*(1+rent_annual_escalator)^(hold_period_years-1)*12*mgmt_fee_pct_of_rent + rm_annual + misc_annual + IF(is_pure_nnn=1,0,property_tax_annual+insurance_annual))) / 0.09</f>
        <v/>
      </c>
      <c r="I7" s="4">
        <f>(7500*(1+rent_annual_escalator)^(hold_period_years-1)*12 - (7500*(1+rent_annual_escalator)^(hold_period_years-1)*12*mgmt_fee_pct_of_rent + rm_annual + misc_annual + IF(is_pure_nnn=1,0,property_tax_annual+insurance_annual))) / 0.095</f>
        <v/>
      </c>
      <c r="J7" s="4">
        <f>(7500*(1+rent_annual_escalator)^(hold_period_years-1)*12 - (7500*(1+rent_annual_escalator)^(hold_period_years-1)*12*mgmt_fee_pct_of_rent + rm_annual + misc_annual + IF(is_pure_nnn=1,0,property_tax_annual+insurance_annual))) / 0.1</f>
        <v/>
      </c>
    </row>
    <row r="8">
      <c r="A8" s="28" t="n">
        <v>8000</v>
      </c>
      <c r="B8" s="4">
        <f>(8000*(1+rent_annual_escalator)^(hold_period_years-1)*12 - (8000*(1+rent_annual_escalator)^(hold_period_years-1)*12*mgmt_fee_pct_of_rent + rm_annual + misc_annual + IF(is_pure_nnn=1,0,property_tax_annual+insurance_annual))) / 0.06</f>
        <v/>
      </c>
      <c r="C8" s="4">
        <f>(8000*(1+rent_annual_escalator)^(hold_period_years-1)*12 - (8000*(1+rent_annual_escalator)^(hold_period_years-1)*12*mgmt_fee_pct_of_rent + rm_annual + misc_annual + IF(is_pure_nnn=1,0,property_tax_annual+insurance_annual))) / 0.065</f>
        <v/>
      </c>
      <c r="D8" s="4">
        <f>(8000*(1+rent_annual_escalator)^(hold_period_years-1)*12 - (8000*(1+rent_annual_escalator)^(hold_period_years-1)*12*mgmt_fee_pct_of_rent + rm_annual + misc_annual + IF(is_pure_nnn=1,0,property_tax_annual+insurance_annual))) / 0.07</f>
        <v/>
      </c>
      <c r="E8" s="4">
        <f>(8000*(1+rent_annual_escalator)^(hold_period_years-1)*12 - (8000*(1+rent_annual_escalator)^(hold_period_years-1)*12*mgmt_fee_pct_of_rent + rm_annual + misc_annual + IF(is_pure_nnn=1,0,property_tax_annual+insurance_annual))) / 0.075</f>
        <v/>
      </c>
      <c r="F8" s="4">
        <f>(8000*(1+rent_annual_escalator)^(hold_period_years-1)*12 - (8000*(1+rent_annual_escalator)^(hold_period_years-1)*12*mgmt_fee_pct_of_rent + rm_annual + misc_annual + IF(is_pure_nnn=1,0,property_tax_annual+insurance_annual))) / 0.08</f>
        <v/>
      </c>
      <c r="G8" s="4">
        <f>(8000*(1+rent_annual_escalator)^(hold_period_years-1)*12 - (8000*(1+rent_annual_escalator)^(hold_period_years-1)*12*mgmt_fee_pct_of_rent + rm_annual + misc_annual + IF(is_pure_nnn=1,0,property_tax_annual+insurance_annual))) / 0.085</f>
        <v/>
      </c>
      <c r="H8" s="4">
        <f>(8000*(1+rent_annual_escalator)^(hold_period_years-1)*12 - (8000*(1+rent_annual_escalator)^(hold_period_years-1)*12*mgmt_fee_pct_of_rent + rm_annual + misc_annual + IF(is_pure_nnn=1,0,property_tax_annual+insurance_annual))) / 0.09</f>
        <v/>
      </c>
      <c r="I8" s="4">
        <f>(8000*(1+rent_annual_escalator)^(hold_period_years-1)*12 - (8000*(1+rent_annual_escalator)^(hold_period_years-1)*12*mgmt_fee_pct_of_rent + rm_annual + misc_annual + IF(is_pure_nnn=1,0,property_tax_annual+insurance_annual))) / 0.095</f>
        <v/>
      </c>
      <c r="J8" s="4">
        <f>(8000*(1+rent_annual_escalator)^(hold_period_years-1)*12 - (8000*(1+rent_annual_escalator)^(hold_period_years-1)*12*mgmt_fee_pct_of_rent + rm_annual + misc_annual + IF(is_pure_nnn=1,0,property_tax_annual+insurance_annual))) / 0.1</f>
        <v/>
      </c>
    </row>
    <row r="9">
      <c r="A9" s="28" t="n">
        <v>8500</v>
      </c>
      <c r="B9" s="4">
        <f>(8500*(1+rent_annual_escalator)^(hold_period_years-1)*12 - (8500*(1+rent_annual_escalator)^(hold_period_years-1)*12*mgmt_fee_pct_of_rent + rm_annual + misc_annual + IF(is_pure_nnn=1,0,property_tax_annual+insurance_annual))) / 0.06</f>
        <v/>
      </c>
      <c r="C9" s="4">
        <f>(8500*(1+rent_annual_escalator)^(hold_period_years-1)*12 - (8500*(1+rent_annual_escalator)^(hold_period_years-1)*12*mgmt_fee_pct_of_rent + rm_annual + misc_annual + IF(is_pure_nnn=1,0,property_tax_annual+insurance_annual))) / 0.065</f>
        <v/>
      </c>
      <c r="D9" s="4">
        <f>(8500*(1+rent_annual_escalator)^(hold_period_years-1)*12 - (8500*(1+rent_annual_escalator)^(hold_period_years-1)*12*mgmt_fee_pct_of_rent + rm_annual + misc_annual + IF(is_pure_nnn=1,0,property_tax_annual+insurance_annual))) / 0.07</f>
        <v/>
      </c>
      <c r="E9" s="4">
        <f>(8500*(1+rent_annual_escalator)^(hold_period_years-1)*12 - (8500*(1+rent_annual_escalator)^(hold_period_years-1)*12*mgmt_fee_pct_of_rent + rm_annual + misc_annual + IF(is_pure_nnn=1,0,property_tax_annual+insurance_annual))) / 0.075</f>
        <v/>
      </c>
      <c r="F9" s="4">
        <f>(8500*(1+rent_annual_escalator)^(hold_period_years-1)*12 - (8500*(1+rent_annual_escalator)^(hold_period_years-1)*12*mgmt_fee_pct_of_rent + rm_annual + misc_annual + IF(is_pure_nnn=1,0,property_tax_annual+insurance_annual))) / 0.08</f>
        <v/>
      </c>
      <c r="G9" s="4">
        <f>(8500*(1+rent_annual_escalator)^(hold_period_years-1)*12 - (8500*(1+rent_annual_escalator)^(hold_period_years-1)*12*mgmt_fee_pct_of_rent + rm_annual + misc_annual + IF(is_pure_nnn=1,0,property_tax_annual+insurance_annual))) / 0.085</f>
        <v/>
      </c>
      <c r="H9" s="4">
        <f>(8500*(1+rent_annual_escalator)^(hold_period_years-1)*12 - (8500*(1+rent_annual_escalator)^(hold_period_years-1)*12*mgmt_fee_pct_of_rent + rm_annual + misc_annual + IF(is_pure_nnn=1,0,property_tax_annual+insurance_annual))) / 0.09</f>
        <v/>
      </c>
      <c r="I9" s="4">
        <f>(8500*(1+rent_annual_escalator)^(hold_period_years-1)*12 - (8500*(1+rent_annual_escalator)^(hold_period_years-1)*12*mgmt_fee_pct_of_rent + rm_annual + misc_annual + IF(is_pure_nnn=1,0,property_tax_annual+insurance_annual))) / 0.095</f>
        <v/>
      </c>
      <c r="J9" s="4">
        <f>(8500*(1+rent_annual_escalator)^(hold_period_years-1)*12 - (8500*(1+rent_annual_escalator)^(hold_period_years-1)*12*mgmt_fee_pct_of_rent + rm_annual + misc_annual + IF(is_pure_nnn=1,0,property_tax_annual+insurance_annual))) / 0.1</f>
        <v/>
      </c>
    </row>
    <row r="10">
      <c r="A10" s="28" t="n">
        <v>9000</v>
      </c>
      <c r="B10" s="4">
        <f>(9000*(1+rent_annual_escalator)^(hold_period_years-1)*12 - (9000*(1+rent_annual_escalator)^(hold_period_years-1)*12*mgmt_fee_pct_of_rent + rm_annual + misc_annual + IF(is_pure_nnn=1,0,property_tax_annual+insurance_annual))) / 0.06</f>
        <v/>
      </c>
      <c r="C10" s="4">
        <f>(9000*(1+rent_annual_escalator)^(hold_period_years-1)*12 - (9000*(1+rent_annual_escalator)^(hold_period_years-1)*12*mgmt_fee_pct_of_rent + rm_annual + misc_annual + IF(is_pure_nnn=1,0,property_tax_annual+insurance_annual))) / 0.065</f>
        <v/>
      </c>
      <c r="D10" s="4">
        <f>(9000*(1+rent_annual_escalator)^(hold_period_years-1)*12 - (9000*(1+rent_annual_escalator)^(hold_period_years-1)*12*mgmt_fee_pct_of_rent + rm_annual + misc_annual + IF(is_pure_nnn=1,0,property_tax_annual+insurance_annual))) / 0.07</f>
        <v/>
      </c>
      <c r="E10" s="4">
        <f>(9000*(1+rent_annual_escalator)^(hold_period_years-1)*12 - (9000*(1+rent_annual_escalator)^(hold_period_years-1)*12*mgmt_fee_pct_of_rent + rm_annual + misc_annual + IF(is_pure_nnn=1,0,property_tax_annual+insurance_annual))) / 0.075</f>
        <v/>
      </c>
      <c r="F10" s="4">
        <f>(9000*(1+rent_annual_escalator)^(hold_period_years-1)*12 - (9000*(1+rent_annual_escalator)^(hold_period_years-1)*12*mgmt_fee_pct_of_rent + rm_annual + misc_annual + IF(is_pure_nnn=1,0,property_tax_annual+insurance_annual))) / 0.08</f>
        <v/>
      </c>
      <c r="G10" s="4">
        <f>(9000*(1+rent_annual_escalator)^(hold_period_years-1)*12 - (9000*(1+rent_annual_escalator)^(hold_period_years-1)*12*mgmt_fee_pct_of_rent + rm_annual + misc_annual + IF(is_pure_nnn=1,0,property_tax_annual+insurance_annual))) / 0.085</f>
        <v/>
      </c>
      <c r="H10" s="4">
        <f>(9000*(1+rent_annual_escalator)^(hold_period_years-1)*12 - (9000*(1+rent_annual_escalator)^(hold_period_years-1)*12*mgmt_fee_pct_of_rent + rm_annual + misc_annual + IF(is_pure_nnn=1,0,property_tax_annual+insurance_annual))) / 0.09</f>
        <v/>
      </c>
      <c r="I10" s="4">
        <f>(9000*(1+rent_annual_escalator)^(hold_period_years-1)*12 - (9000*(1+rent_annual_escalator)^(hold_period_years-1)*12*mgmt_fee_pct_of_rent + rm_annual + misc_annual + IF(is_pure_nnn=1,0,property_tax_annual+insurance_annual))) / 0.095</f>
        <v/>
      </c>
      <c r="J10" s="4">
        <f>(9000*(1+rent_annual_escalator)^(hold_period_years-1)*12 - (9000*(1+rent_annual_escalator)^(hold_period_years-1)*12*mgmt_fee_pct_of_rent + rm_annual + misc_annual + IF(is_pure_nnn=1,0,property_tax_annual+insurance_annual))) / 0.1</f>
        <v/>
      </c>
    </row>
    <row r="11">
      <c r="A11" s="28" t="n">
        <v>9500</v>
      </c>
      <c r="B11" s="4">
        <f>(9500*(1+rent_annual_escalator)^(hold_period_years-1)*12 - (9500*(1+rent_annual_escalator)^(hold_period_years-1)*12*mgmt_fee_pct_of_rent + rm_annual + misc_annual + IF(is_pure_nnn=1,0,property_tax_annual+insurance_annual))) / 0.06</f>
        <v/>
      </c>
      <c r="C11" s="4">
        <f>(9500*(1+rent_annual_escalator)^(hold_period_years-1)*12 - (9500*(1+rent_annual_escalator)^(hold_period_years-1)*12*mgmt_fee_pct_of_rent + rm_annual + misc_annual + IF(is_pure_nnn=1,0,property_tax_annual+insurance_annual))) / 0.065</f>
        <v/>
      </c>
      <c r="D11" s="4">
        <f>(9500*(1+rent_annual_escalator)^(hold_period_years-1)*12 - (9500*(1+rent_annual_escalator)^(hold_period_years-1)*12*mgmt_fee_pct_of_rent + rm_annual + misc_annual + IF(is_pure_nnn=1,0,property_tax_annual+insurance_annual))) / 0.07</f>
        <v/>
      </c>
      <c r="E11" s="4">
        <f>(9500*(1+rent_annual_escalator)^(hold_period_years-1)*12 - (9500*(1+rent_annual_escalator)^(hold_period_years-1)*12*mgmt_fee_pct_of_rent + rm_annual + misc_annual + IF(is_pure_nnn=1,0,property_tax_annual+insurance_annual))) / 0.075</f>
        <v/>
      </c>
      <c r="F11" s="4">
        <f>(9500*(1+rent_annual_escalator)^(hold_period_years-1)*12 - (9500*(1+rent_annual_escalator)^(hold_period_years-1)*12*mgmt_fee_pct_of_rent + rm_annual + misc_annual + IF(is_pure_nnn=1,0,property_tax_annual+insurance_annual))) / 0.08</f>
        <v/>
      </c>
      <c r="G11" s="4">
        <f>(9500*(1+rent_annual_escalator)^(hold_period_years-1)*12 - (9500*(1+rent_annual_escalator)^(hold_period_years-1)*12*mgmt_fee_pct_of_rent + rm_annual + misc_annual + IF(is_pure_nnn=1,0,property_tax_annual+insurance_annual))) / 0.085</f>
        <v/>
      </c>
      <c r="H11" s="4">
        <f>(9500*(1+rent_annual_escalator)^(hold_period_years-1)*12 - (9500*(1+rent_annual_escalator)^(hold_period_years-1)*12*mgmt_fee_pct_of_rent + rm_annual + misc_annual + IF(is_pure_nnn=1,0,property_tax_annual+insurance_annual))) / 0.09</f>
        <v/>
      </c>
      <c r="I11" s="4">
        <f>(9500*(1+rent_annual_escalator)^(hold_period_years-1)*12 - (9500*(1+rent_annual_escalator)^(hold_period_years-1)*12*mgmt_fee_pct_of_rent + rm_annual + misc_annual + IF(is_pure_nnn=1,0,property_tax_annual+insurance_annual))) / 0.095</f>
        <v/>
      </c>
      <c r="J11" s="4">
        <f>(9500*(1+rent_annual_escalator)^(hold_period_years-1)*12 - (9500*(1+rent_annual_escalator)^(hold_period_years-1)*12*mgmt_fee_pct_of_rent + rm_annual + misc_annual + IF(is_pure_nnn=1,0,property_tax_annual+insurance_annual))) / 0.1</f>
        <v/>
      </c>
    </row>
    <row r="12">
      <c r="A12" s="28" t="n">
        <v>10000</v>
      </c>
      <c r="B12" s="4">
        <f>(10000*(1+rent_annual_escalator)^(hold_period_years-1)*12 - (10000*(1+rent_annual_escalator)^(hold_period_years-1)*12*mgmt_fee_pct_of_rent + rm_annual + misc_annual + IF(is_pure_nnn=1,0,property_tax_annual+insurance_annual))) / 0.06</f>
        <v/>
      </c>
      <c r="C12" s="4">
        <f>(10000*(1+rent_annual_escalator)^(hold_period_years-1)*12 - (10000*(1+rent_annual_escalator)^(hold_period_years-1)*12*mgmt_fee_pct_of_rent + rm_annual + misc_annual + IF(is_pure_nnn=1,0,property_tax_annual+insurance_annual))) / 0.065</f>
        <v/>
      </c>
      <c r="D12" s="4">
        <f>(10000*(1+rent_annual_escalator)^(hold_period_years-1)*12 - (10000*(1+rent_annual_escalator)^(hold_period_years-1)*12*mgmt_fee_pct_of_rent + rm_annual + misc_annual + IF(is_pure_nnn=1,0,property_tax_annual+insurance_annual))) / 0.07</f>
        <v/>
      </c>
      <c r="E12" s="4">
        <f>(10000*(1+rent_annual_escalator)^(hold_period_years-1)*12 - (10000*(1+rent_annual_escalator)^(hold_period_years-1)*12*mgmt_fee_pct_of_rent + rm_annual + misc_annual + IF(is_pure_nnn=1,0,property_tax_annual+insurance_annual))) / 0.075</f>
        <v/>
      </c>
      <c r="F12" s="4">
        <f>(10000*(1+rent_annual_escalator)^(hold_period_years-1)*12 - (10000*(1+rent_annual_escalator)^(hold_period_years-1)*12*mgmt_fee_pct_of_rent + rm_annual + misc_annual + IF(is_pure_nnn=1,0,property_tax_annual+insurance_annual))) / 0.08</f>
        <v/>
      </c>
      <c r="G12" s="4">
        <f>(10000*(1+rent_annual_escalator)^(hold_period_years-1)*12 - (10000*(1+rent_annual_escalator)^(hold_period_years-1)*12*mgmt_fee_pct_of_rent + rm_annual + misc_annual + IF(is_pure_nnn=1,0,property_tax_annual+insurance_annual))) / 0.085</f>
        <v/>
      </c>
      <c r="H12" s="4">
        <f>(10000*(1+rent_annual_escalator)^(hold_period_years-1)*12 - (10000*(1+rent_annual_escalator)^(hold_period_years-1)*12*mgmt_fee_pct_of_rent + rm_annual + misc_annual + IF(is_pure_nnn=1,0,property_tax_annual+insurance_annual))) / 0.09</f>
        <v/>
      </c>
      <c r="I12" s="4">
        <f>(10000*(1+rent_annual_escalator)^(hold_period_years-1)*12 - (10000*(1+rent_annual_escalator)^(hold_period_years-1)*12*mgmt_fee_pct_of_rent + rm_annual + misc_annual + IF(is_pure_nnn=1,0,property_tax_annual+insurance_annual))) / 0.095</f>
        <v/>
      </c>
      <c r="J12" s="4">
        <f>(10000*(1+rent_annual_escalator)^(hold_period_years-1)*12 - (10000*(1+rent_annual_escalator)^(hold_period_years-1)*12*mgmt_fee_pct_of_rent + rm_annual + misc_annual + IF(is_pure_nnn=1,0,property_tax_annual+insurance_annual))) / 0.1</f>
        <v/>
      </c>
    </row>
    <row r="13">
      <c r="A13" s="28" t="n">
        <v>10500</v>
      </c>
      <c r="B13" s="4">
        <f>(10500*(1+rent_annual_escalator)^(hold_period_years-1)*12 - (10500*(1+rent_annual_escalator)^(hold_period_years-1)*12*mgmt_fee_pct_of_rent + rm_annual + misc_annual + IF(is_pure_nnn=1,0,property_tax_annual+insurance_annual))) / 0.06</f>
        <v/>
      </c>
      <c r="C13" s="4">
        <f>(10500*(1+rent_annual_escalator)^(hold_period_years-1)*12 - (10500*(1+rent_annual_escalator)^(hold_period_years-1)*12*mgmt_fee_pct_of_rent + rm_annual + misc_annual + IF(is_pure_nnn=1,0,property_tax_annual+insurance_annual))) / 0.065</f>
        <v/>
      </c>
      <c r="D13" s="4">
        <f>(10500*(1+rent_annual_escalator)^(hold_period_years-1)*12 - (10500*(1+rent_annual_escalator)^(hold_period_years-1)*12*mgmt_fee_pct_of_rent + rm_annual + misc_annual + IF(is_pure_nnn=1,0,property_tax_annual+insurance_annual))) / 0.07</f>
        <v/>
      </c>
      <c r="E13" s="4">
        <f>(10500*(1+rent_annual_escalator)^(hold_period_years-1)*12 - (10500*(1+rent_annual_escalator)^(hold_period_years-1)*12*mgmt_fee_pct_of_rent + rm_annual + misc_annual + IF(is_pure_nnn=1,0,property_tax_annual+insurance_annual))) / 0.075</f>
        <v/>
      </c>
      <c r="F13" s="4">
        <f>(10500*(1+rent_annual_escalator)^(hold_period_years-1)*12 - (10500*(1+rent_annual_escalator)^(hold_period_years-1)*12*mgmt_fee_pct_of_rent + rm_annual + misc_annual + IF(is_pure_nnn=1,0,property_tax_annual+insurance_annual))) / 0.08</f>
        <v/>
      </c>
      <c r="G13" s="4">
        <f>(10500*(1+rent_annual_escalator)^(hold_period_years-1)*12 - (10500*(1+rent_annual_escalator)^(hold_period_years-1)*12*mgmt_fee_pct_of_rent + rm_annual + misc_annual + IF(is_pure_nnn=1,0,property_tax_annual+insurance_annual))) / 0.085</f>
        <v/>
      </c>
      <c r="H13" s="4">
        <f>(10500*(1+rent_annual_escalator)^(hold_period_years-1)*12 - (10500*(1+rent_annual_escalator)^(hold_period_years-1)*12*mgmt_fee_pct_of_rent + rm_annual + misc_annual + IF(is_pure_nnn=1,0,property_tax_annual+insurance_annual))) / 0.09</f>
        <v/>
      </c>
      <c r="I13" s="4">
        <f>(10500*(1+rent_annual_escalator)^(hold_period_years-1)*12 - (10500*(1+rent_annual_escalator)^(hold_period_years-1)*12*mgmt_fee_pct_of_rent + rm_annual + misc_annual + IF(is_pure_nnn=1,0,property_tax_annual+insurance_annual))) / 0.095</f>
        <v/>
      </c>
      <c r="J13" s="4">
        <f>(10500*(1+rent_annual_escalator)^(hold_period_years-1)*12 - (10500*(1+rent_annual_escalator)^(hold_period_years-1)*12*mgmt_fee_pct_of_rent + rm_annual + misc_annual + IF(is_pure_nnn=1,0,property_tax_annual+insurance_annual))) / 0.1</f>
        <v/>
      </c>
    </row>
    <row r="14">
      <c r="A14" s="28" t="n">
        <v>11000</v>
      </c>
      <c r="B14" s="4">
        <f>(11000*(1+rent_annual_escalator)^(hold_period_years-1)*12 - (11000*(1+rent_annual_escalator)^(hold_period_years-1)*12*mgmt_fee_pct_of_rent + rm_annual + misc_annual + IF(is_pure_nnn=1,0,property_tax_annual+insurance_annual))) / 0.06</f>
        <v/>
      </c>
      <c r="C14" s="4">
        <f>(11000*(1+rent_annual_escalator)^(hold_period_years-1)*12 - (11000*(1+rent_annual_escalator)^(hold_period_years-1)*12*mgmt_fee_pct_of_rent + rm_annual + misc_annual + IF(is_pure_nnn=1,0,property_tax_annual+insurance_annual))) / 0.065</f>
        <v/>
      </c>
      <c r="D14" s="4">
        <f>(11000*(1+rent_annual_escalator)^(hold_period_years-1)*12 - (11000*(1+rent_annual_escalator)^(hold_period_years-1)*12*mgmt_fee_pct_of_rent + rm_annual + misc_annual + IF(is_pure_nnn=1,0,property_tax_annual+insurance_annual))) / 0.07</f>
        <v/>
      </c>
      <c r="E14" s="4">
        <f>(11000*(1+rent_annual_escalator)^(hold_period_years-1)*12 - (11000*(1+rent_annual_escalator)^(hold_period_years-1)*12*mgmt_fee_pct_of_rent + rm_annual + misc_annual + IF(is_pure_nnn=1,0,property_tax_annual+insurance_annual))) / 0.075</f>
        <v/>
      </c>
      <c r="F14" s="4">
        <f>(11000*(1+rent_annual_escalator)^(hold_period_years-1)*12 - (11000*(1+rent_annual_escalator)^(hold_period_years-1)*12*mgmt_fee_pct_of_rent + rm_annual + misc_annual + IF(is_pure_nnn=1,0,property_tax_annual+insurance_annual))) / 0.08</f>
        <v/>
      </c>
      <c r="G14" s="4">
        <f>(11000*(1+rent_annual_escalator)^(hold_period_years-1)*12 - (11000*(1+rent_annual_escalator)^(hold_period_years-1)*12*mgmt_fee_pct_of_rent + rm_annual + misc_annual + IF(is_pure_nnn=1,0,property_tax_annual+insurance_annual))) / 0.085</f>
        <v/>
      </c>
      <c r="H14" s="4">
        <f>(11000*(1+rent_annual_escalator)^(hold_period_years-1)*12 - (11000*(1+rent_annual_escalator)^(hold_period_years-1)*12*mgmt_fee_pct_of_rent + rm_annual + misc_annual + IF(is_pure_nnn=1,0,property_tax_annual+insurance_annual))) / 0.09</f>
        <v/>
      </c>
      <c r="I14" s="4">
        <f>(11000*(1+rent_annual_escalator)^(hold_period_years-1)*12 - (11000*(1+rent_annual_escalator)^(hold_period_years-1)*12*mgmt_fee_pct_of_rent + rm_annual + misc_annual + IF(is_pure_nnn=1,0,property_tax_annual+insurance_annual))) / 0.095</f>
        <v/>
      </c>
      <c r="J14" s="4">
        <f>(11000*(1+rent_annual_escalator)^(hold_period_years-1)*12 - (11000*(1+rent_annual_escalator)^(hold_period_years-1)*12*mgmt_fee_pct_of_rent + rm_annual + misc_annual + IF(is_pure_nnn=1,0,property_tax_annual+insurance_annual))) / 0.1</f>
        <v/>
      </c>
    </row>
    <row r="15">
      <c r="A15" s="28" t="n">
        <v>11500</v>
      </c>
      <c r="B15" s="4">
        <f>(11500*(1+rent_annual_escalator)^(hold_period_years-1)*12 - (11500*(1+rent_annual_escalator)^(hold_period_years-1)*12*mgmt_fee_pct_of_rent + rm_annual + misc_annual + IF(is_pure_nnn=1,0,property_tax_annual+insurance_annual))) / 0.06</f>
        <v/>
      </c>
      <c r="C15" s="4">
        <f>(11500*(1+rent_annual_escalator)^(hold_period_years-1)*12 - (11500*(1+rent_annual_escalator)^(hold_period_years-1)*12*mgmt_fee_pct_of_rent + rm_annual + misc_annual + IF(is_pure_nnn=1,0,property_tax_annual+insurance_annual))) / 0.065</f>
        <v/>
      </c>
      <c r="D15" s="4">
        <f>(11500*(1+rent_annual_escalator)^(hold_period_years-1)*12 - (11500*(1+rent_annual_escalator)^(hold_period_years-1)*12*mgmt_fee_pct_of_rent + rm_annual + misc_annual + IF(is_pure_nnn=1,0,property_tax_annual+insurance_annual))) / 0.07</f>
        <v/>
      </c>
      <c r="E15" s="4">
        <f>(11500*(1+rent_annual_escalator)^(hold_period_years-1)*12 - (11500*(1+rent_annual_escalator)^(hold_period_years-1)*12*mgmt_fee_pct_of_rent + rm_annual + misc_annual + IF(is_pure_nnn=1,0,property_tax_annual+insurance_annual))) / 0.075</f>
        <v/>
      </c>
      <c r="F15" s="4">
        <f>(11500*(1+rent_annual_escalator)^(hold_period_years-1)*12 - (11500*(1+rent_annual_escalator)^(hold_period_years-1)*12*mgmt_fee_pct_of_rent + rm_annual + misc_annual + IF(is_pure_nnn=1,0,property_tax_annual+insurance_annual))) / 0.08</f>
        <v/>
      </c>
      <c r="G15" s="4">
        <f>(11500*(1+rent_annual_escalator)^(hold_period_years-1)*12 - (11500*(1+rent_annual_escalator)^(hold_period_years-1)*12*mgmt_fee_pct_of_rent + rm_annual + misc_annual + IF(is_pure_nnn=1,0,property_tax_annual+insurance_annual))) / 0.085</f>
        <v/>
      </c>
      <c r="H15" s="4">
        <f>(11500*(1+rent_annual_escalator)^(hold_period_years-1)*12 - (11500*(1+rent_annual_escalator)^(hold_period_years-1)*12*mgmt_fee_pct_of_rent + rm_annual + misc_annual + IF(is_pure_nnn=1,0,property_tax_annual+insurance_annual))) / 0.09</f>
        <v/>
      </c>
      <c r="I15" s="4">
        <f>(11500*(1+rent_annual_escalator)^(hold_period_years-1)*12 - (11500*(1+rent_annual_escalator)^(hold_period_years-1)*12*mgmt_fee_pct_of_rent + rm_annual + misc_annual + IF(is_pure_nnn=1,0,property_tax_annual+insurance_annual))) / 0.095</f>
        <v/>
      </c>
      <c r="J15" s="4">
        <f>(11500*(1+rent_annual_escalator)^(hold_period_years-1)*12 - (11500*(1+rent_annual_escalator)^(hold_period_years-1)*12*mgmt_fee_pct_of_rent + rm_annual + misc_annual + IF(is_pure_nnn=1,0,property_tax_annual+insurance_annual))) / 0.1</f>
        <v/>
      </c>
    </row>
    <row r="16">
      <c r="A16" s="28" t="n">
        <v>12000</v>
      </c>
      <c r="B16" s="4">
        <f>(12000*(1+rent_annual_escalator)^(hold_period_years-1)*12 - (12000*(1+rent_annual_escalator)^(hold_period_years-1)*12*mgmt_fee_pct_of_rent + rm_annual + misc_annual + IF(is_pure_nnn=1,0,property_tax_annual+insurance_annual))) / 0.06</f>
        <v/>
      </c>
      <c r="C16" s="4">
        <f>(12000*(1+rent_annual_escalator)^(hold_period_years-1)*12 - (12000*(1+rent_annual_escalator)^(hold_period_years-1)*12*mgmt_fee_pct_of_rent + rm_annual + misc_annual + IF(is_pure_nnn=1,0,property_tax_annual+insurance_annual))) / 0.065</f>
        <v/>
      </c>
      <c r="D16" s="4">
        <f>(12000*(1+rent_annual_escalator)^(hold_period_years-1)*12 - (12000*(1+rent_annual_escalator)^(hold_period_years-1)*12*mgmt_fee_pct_of_rent + rm_annual + misc_annual + IF(is_pure_nnn=1,0,property_tax_annual+insurance_annual))) / 0.07</f>
        <v/>
      </c>
      <c r="E16" s="4">
        <f>(12000*(1+rent_annual_escalator)^(hold_period_years-1)*12 - (12000*(1+rent_annual_escalator)^(hold_period_years-1)*12*mgmt_fee_pct_of_rent + rm_annual + misc_annual + IF(is_pure_nnn=1,0,property_tax_annual+insurance_annual))) / 0.075</f>
        <v/>
      </c>
      <c r="F16" s="4">
        <f>(12000*(1+rent_annual_escalator)^(hold_period_years-1)*12 - (12000*(1+rent_annual_escalator)^(hold_period_years-1)*12*mgmt_fee_pct_of_rent + rm_annual + misc_annual + IF(is_pure_nnn=1,0,property_tax_annual+insurance_annual))) / 0.08</f>
        <v/>
      </c>
      <c r="G16" s="4">
        <f>(12000*(1+rent_annual_escalator)^(hold_period_years-1)*12 - (12000*(1+rent_annual_escalator)^(hold_period_years-1)*12*mgmt_fee_pct_of_rent + rm_annual + misc_annual + IF(is_pure_nnn=1,0,property_tax_annual+insurance_annual))) / 0.085</f>
        <v/>
      </c>
      <c r="H16" s="4">
        <f>(12000*(1+rent_annual_escalator)^(hold_period_years-1)*12 - (12000*(1+rent_annual_escalator)^(hold_period_years-1)*12*mgmt_fee_pct_of_rent + rm_annual + misc_annual + IF(is_pure_nnn=1,0,property_tax_annual+insurance_annual))) / 0.09</f>
        <v/>
      </c>
      <c r="I16" s="4">
        <f>(12000*(1+rent_annual_escalator)^(hold_period_years-1)*12 - (12000*(1+rent_annual_escalator)^(hold_period_years-1)*12*mgmt_fee_pct_of_rent + rm_annual + misc_annual + IF(is_pure_nnn=1,0,property_tax_annual+insurance_annual))) / 0.095</f>
        <v/>
      </c>
      <c r="J16" s="4">
        <f>(12000*(1+rent_annual_escalator)^(hold_period_years-1)*12 - (12000*(1+rent_annual_escalator)^(hold_period_years-1)*12*mgmt_fee_pct_of_rent + rm_annual + misc_annual + IF(is_pure_nnn=1,0,property_tax_annual+insurance_annual))) / 0.1</f>
        <v/>
      </c>
    </row>
    <row r="17">
      <c r="A17" s="28" t="n">
        <v>12500</v>
      </c>
      <c r="B17" s="4">
        <f>(12500*(1+rent_annual_escalator)^(hold_period_years-1)*12 - (12500*(1+rent_annual_escalator)^(hold_period_years-1)*12*mgmt_fee_pct_of_rent + rm_annual + misc_annual + IF(is_pure_nnn=1,0,property_tax_annual+insurance_annual))) / 0.06</f>
        <v/>
      </c>
      <c r="C17" s="4">
        <f>(12500*(1+rent_annual_escalator)^(hold_period_years-1)*12 - (12500*(1+rent_annual_escalator)^(hold_period_years-1)*12*mgmt_fee_pct_of_rent + rm_annual + misc_annual + IF(is_pure_nnn=1,0,property_tax_annual+insurance_annual))) / 0.065</f>
        <v/>
      </c>
      <c r="D17" s="4">
        <f>(12500*(1+rent_annual_escalator)^(hold_period_years-1)*12 - (12500*(1+rent_annual_escalator)^(hold_period_years-1)*12*mgmt_fee_pct_of_rent + rm_annual + misc_annual + IF(is_pure_nnn=1,0,property_tax_annual+insurance_annual))) / 0.07</f>
        <v/>
      </c>
      <c r="E17" s="4">
        <f>(12500*(1+rent_annual_escalator)^(hold_period_years-1)*12 - (12500*(1+rent_annual_escalator)^(hold_period_years-1)*12*mgmt_fee_pct_of_rent + rm_annual + misc_annual + IF(is_pure_nnn=1,0,property_tax_annual+insurance_annual))) / 0.075</f>
        <v/>
      </c>
      <c r="F17" s="4">
        <f>(12500*(1+rent_annual_escalator)^(hold_period_years-1)*12 - (12500*(1+rent_annual_escalator)^(hold_period_years-1)*12*mgmt_fee_pct_of_rent + rm_annual + misc_annual + IF(is_pure_nnn=1,0,property_tax_annual+insurance_annual))) / 0.08</f>
        <v/>
      </c>
      <c r="G17" s="4">
        <f>(12500*(1+rent_annual_escalator)^(hold_period_years-1)*12 - (12500*(1+rent_annual_escalator)^(hold_period_years-1)*12*mgmt_fee_pct_of_rent + rm_annual + misc_annual + IF(is_pure_nnn=1,0,property_tax_annual+insurance_annual))) / 0.085</f>
        <v/>
      </c>
      <c r="H17" s="4">
        <f>(12500*(1+rent_annual_escalator)^(hold_period_years-1)*12 - (12500*(1+rent_annual_escalator)^(hold_period_years-1)*12*mgmt_fee_pct_of_rent + rm_annual + misc_annual + IF(is_pure_nnn=1,0,property_tax_annual+insurance_annual))) / 0.09</f>
        <v/>
      </c>
      <c r="I17" s="4">
        <f>(12500*(1+rent_annual_escalator)^(hold_period_years-1)*12 - (12500*(1+rent_annual_escalator)^(hold_period_years-1)*12*mgmt_fee_pct_of_rent + rm_annual + misc_annual + IF(is_pure_nnn=1,0,property_tax_annual+insurance_annual))) / 0.095</f>
        <v/>
      </c>
      <c r="J17" s="4">
        <f>(12500*(1+rent_annual_escalator)^(hold_period_years-1)*12 - (12500*(1+rent_annual_escalator)^(hold_period_years-1)*12*mgmt_fee_pct_of_rent + rm_annual + misc_annual + IF(is_pure_nnn=1,0,property_tax_annual+insurance_annual))) / 0.1</f>
        <v/>
      </c>
    </row>
    <row r="18">
      <c r="A18" s="28" t="n">
        <v>13000</v>
      </c>
      <c r="B18" s="4">
        <f>(13000*(1+rent_annual_escalator)^(hold_period_years-1)*12 - (13000*(1+rent_annual_escalator)^(hold_period_years-1)*12*mgmt_fee_pct_of_rent + rm_annual + misc_annual + IF(is_pure_nnn=1,0,property_tax_annual+insurance_annual))) / 0.06</f>
        <v/>
      </c>
      <c r="C18" s="4">
        <f>(13000*(1+rent_annual_escalator)^(hold_period_years-1)*12 - (13000*(1+rent_annual_escalator)^(hold_period_years-1)*12*mgmt_fee_pct_of_rent + rm_annual + misc_annual + IF(is_pure_nnn=1,0,property_tax_annual+insurance_annual))) / 0.065</f>
        <v/>
      </c>
      <c r="D18" s="4">
        <f>(13000*(1+rent_annual_escalator)^(hold_period_years-1)*12 - (13000*(1+rent_annual_escalator)^(hold_period_years-1)*12*mgmt_fee_pct_of_rent + rm_annual + misc_annual + IF(is_pure_nnn=1,0,property_tax_annual+insurance_annual))) / 0.07</f>
        <v/>
      </c>
      <c r="E18" s="4">
        <f>(13000*(1+rent_annual_escalator)^(hold_period_years-1)*12 - (13000*(1+rent_annual_escalator)^(hold_period_years-1)*12*mgmt_fee_pct_of_rent + rm_annual + misc_annual + IF(is_pure_nnn=1,0,property_tax_annual+insurance_annual))) / 0.075</f>
        <v/>
      </c>
      <c r="F18" s="4">
        <f>(13000*(1+rent_annual_escalator)^(hold_period_years-1)*12 - (13000*(1+rent_annual_escalator)^(hold_period_years-1)*12*mgmt_fee_pct_of_rent + rm_annual + misc_annual + IF(is_pure_nnn=1,0,property_tax_annual+insurance_annual))) / 0.08</f>
        <v/>
      </c>
      <c r="G18" s="4">
        <f>(13000*(1+rent_annual_escalator)^(hold_period_years-1)*12 - (13000*(1+rent_annual_escalator)^(hold_period_years-1)*12*mgmt_fee_pct_of_rent + rm_annual + misc_annual + IF(is_pure_nnn=1,0,property_tax_annual+insurance_annual))) / 0.085</f>
        <v/>
      </c>
      <c r="H18" s="4">
        <f>(13000*(1+rent_annual_escalator)^(hold_period_years-1)*12 - (13000*(1+rent_annual_escalator)^(hold_period_years-1)*12*mgmt_fee_pct_of_rent + rm_annual + misc_annual + IF(is_pure_nnn=1,0,property_tax_annual+insurance_annual))) / 0.09</f>
        <v/>
      </c>
      <c r="I18" s="4">
        <f>(13000*(1+rent_annual_escalator)^(hold_period_years-1)*12 - (13000*(1+rent_annual_escalator)^(hold_period_years-1)*12*mgmt_fee_pct_of_rent + rm_annual + misc_annual + IF(is_pure_nnn=1,0,property_tax_annual+insurance_annual))) / 0.095</f>
        <v/>
      </c>
      <c r="J18" s="4">
        <f>(13000*(1+rent_annual_escalator)^(hold_period_years-1)*12 - (13000*(1+rent_annual_escalator)^(hold_period_years-1)*12*mgmt_fee_pct_of_rent + rm_annual + misc_annual + IF(is_pure_nnn=1,0,property_tax_annual+insurance_annual))) / 0.1</f>
        <v/>
      </c>
    </row>
    <row r="21">
      <c r="A21" s="10" t="inlineStr">
        <is>
          <t>TABLE 2 — Year 1 cash flow:  rent × loan rate</t>
        </is>
      </c>
    </row>
    <row r="23">
      <c r="A23" s="20" t="inlineStr">
        <is>
          <t>Yr1 Rent ↓ / Loan Rate →</t>
        </is>
      </c>
      <c r="B23" s="29" t="n">
        <v>0.05</v>
      </c>
      <c r="C23" s="29" t="n">
        <v>0.055</v>
      </c>
      <c r="D23" s="29" t="n">
        <v>0.06</v>
      </c>
      <c r="E23" s="29" t="n">
        <v>0.065</v>
      </c>
      <c r="F23" s="29" t="n">
        <v>0.07000000000000001</v>
      </c>
      <c r="G23" s="29" t="n">
        <v>0.075</v>
      </c>
      <c r="H23" s="29" t="n">
        <v>0.08</v>
      </c>
      <c r="I23" s="29" t="n">
        <v>0.08500000000000001</v>
      </c>
      <c r="J23" s="29" t="n">
        <v>0.09</v>
      </c>
      <c r="K23" s="29" t="n">
        <v>0.095</v>
      </c>
      <c r="L23" s="29" t="n">
        <v>0.1</v>
      </c>
    </row>
    <row r="24">
      <c r="A24" s="28" t="n">
        <v>7000</v>
      </c>
      <c r="B24" s="4">
        <f>(7000*12 - (7000*12*mgmt_fee_pct_of_rent + rm_annual + misc_annual + IF(is_pure_nnn=1,0,property_tax_annual+insurance_annual))) - (-PMT(0.05/12,loan_amortization_years*12,purchase_price*loan_to_value)*12)</f>
        <v/>
      </c>
      <c r="C24" s="4">
        <f>(7000*12 - (7000*12*mgmt_fee_pct_of_rent + rm_annual + misc_annual + IF(is_pure_nnn=1,0,property_tax_annual+insurance_annual))) - (-PMT(0.055/12,loan_amortization_years*12,purchase_price*loan_to_value)*12)</f>
        <v/>
      </c>
      <c r="D24" s="4">
        <f>(7000*12 - (7000*12*mgmt_fee_pct_of_rent + rm_annual + misc_annual + IF(is_pure_nnn=1,0,property_tax_annual+insurance_annual))) - (-PMT(0.06/12,loan_amortization_years*12,purchase_price*loan_to_value)*12)</f>
        <v/>
      </c>
      <c r="E24" s="4">
        <f>(7000*12 - (7000*12*mgmt_fee_pct_of_rent + rm_annual + misc_annual + IF(is_pure_nnn=1,0,property_tax_annual+insurance_annual))) - (-PMT(0.065/12,loan_amortization_years*12,purchase_price*loan_to_value)*12)</f>
        <v/>
      </c>
      <c r="F24" s="4">
        <f>(7000*12 - (7000*12*mgmt_fee_pct_of_rent + rm_annual + misc_annual + IF(is_pure_nnn=1,0,property_tax_annual+insurance_annual))) - (-PMT(0.07/12,loan_amortization_years*12,purchase_price*loan_to_value)*12)</f>
        <v/>
      </c>
      <c r="G24" s="4">
        <f>(7000*12 - (7000*12*mgmt_fee_pct_of_rent + rm_annual + misc_annual + IF(is_pure_nnn=1,0,property_tax_annual+insurance_annual))) - (-PMT(0.075/12,loan_amortization_years*12,purchase_price*loan_to_value)*12)</f>
        <v/>
      </c>
      <c r="H24" s="4">
        <f>(7000*12 - (7000*12*mgmt_fee_pct_of_rent + rm_annual + misc_annual + IF(is_pure_nnn=1,0,property_tax_annual+insurance_annual))) - (-PMT(0.08/12,loan_amortization_years*12,purchase_price*loan_to_value)*12)</f>
        <v/>
      </c>
      <c r="I24" s="4">
        <f>(7000*12 - (7000*12*mgmt_fee_pct_of_rent + rm_annual + misc_annual + IF(is_pure_nnn=1,0,property_tax_annual+insurance_annual))) - (-PMT(0.085/12,loan_amortization_years*12,purchase_price*loan_to_value)*12)</f>
        <v/>
      </c>
      <c r="J24" s="4">
        <f>(7000*12 - (7000*12*mgmt_fee_pct_of_rent + rm_annual + misc_annual + IF(is_pure_nnn=1,0,property_tax_annual+insurance_annual))) - (-PMT(0.09/12,loan_amortization_years*12,purchase_price*loan_to_value)*12)</f>
        <v/>
      </c>
      <c r="K24" s="4">
        <f>(7000*12 - (7000*12*mgmt_fee_pct_of_rent + rm_annual + misc_annual + IF(is_pure_nnn=1,0,property_tax_annual+insurance_annual))) - (-PMT(0.095/12,loan_amortization_years*12,purchase_price*loan_to_value)*12)</f>
        <v/>
      </c>
      <c r="L24" s="4">
        <f>(7000*12 - (7000*12*mgmt_fee_pct_of_rent + rm_annual + misc_annual + IF(is_pure_nnn=1,0,property_tax_annual+insurance_annual))) - (-PMT(0.1/12,loan_amortization_years*12,purchase_price*loan_to_value)*12)</f>
        <v/>
      </c>
    </row>
    <row r="25">
      <c r="A25" s="28" t="n">
        <v>7500</v>
      </c>
      <c r="B25" s="4">
        <f>(7500*12 - (7500*12*mgmt_fee_pct_of_rent + rm_annual + misc_annual + IF(is_pure_nnn=1,0,property_tax_annual+insurance_annual))) - (-PMT(0.05/12,loan_amortization_years*12,purchase_price*loan_to_value)*12)</f>
        <v/>
      </c>
      <c r="C25" s="4">
        <f>(7500*12 - (7500*12*mgmt_fee_pct_of_rent + rm_annual + misc_annual + IF(is_pure_nnn=1,0,property_tax_annual+insurance_annual))) - (-PMT(0.055/12,loan_amortization_years*12,purchase_price*loan_to_value)*12)</f>
        <v/>
      </c>
      <c r="D25" s="4">
        <f>(7500*12 - (7500*12*mgmt_fee_pct_of_rent + rm_annual + misc_annual + IF(is_pure_nnn=1,0,property_tax_annual+insurance_annual))) - (-PMT(0.06/12,loan_amortization_years*12,purchase_price*loan_to_value)*12)</f>
        <v/>
      </c>
      <c r="E25" s="4">
        <f>(7500*12 - (7500*12*mgmt_fee_pct_of_rent + rm_annual + misc_annual + IF(is_pure_nnn=1,0,property_tax_annual+insurance_annual))) - (-PMT(0.065/12,loan_amortization_years*12,purchase_price*loan_to_value)*12)</f>
        <v/>
      </c>
      <c r="F25" s="4">
        <f>(7500*12 - (7500*12*mgmt_fee_pct_of_rent + rm_annual + misc_annual + IF(is_pure_nnn=1,0,property_tax_annual+insurance_annual))) - (-PMT(0.07/12,loan_amortization_years*12,purchase_price*loan_to_value)*12)</f>
        <v/>
      </c>
      <c r="G25" s="4">
        <f>(7500*12 - (7500*12*mgmt_fee_pct_of_rent + rm_annual + misc_annual + IF(is_pure_nnn=1,0,property_tax_annual+insurance_annual))) - (-PMT(0.075/12,loan_amortization_years*12,purchase_price*loan_to_value)*12)</f>
        <v/>
      </c>
      <c r="H25" s="4">
        <f>(7500*12 - (7500*12*mgmt_fee_pct_of_rent + rm_annual + misc_annual + IF(is_pure_nnn=1,0,property_tax_annual+insurance_annual))) - (-PMT(0.08/12,loan_amortization_years*12,purchase_price*loan_to_value)*12)</f>
        <v/>
      </c>
      <c r="I25" s="4">
        <f>(7500*12 - (7500*12*mgmt_fee_pct_of_rent + rm_annual + misc_annual + IF(is_pure_nnn=1,0,property_tax_annual+insurance_annual))) - (-PMT(0.085/12,loan_amortization_years*12,purchase_price*loan_to_value)*12)</f>
        <v/>
      </c>
      <c r="J25" s="4">
        <f>(7500*12 - (7500*12*mgmt_fee_pct_of_rent + rm_annual + misc_annual + IF(is_pure_nnn=1,0,property_tax_annual+insurance_annual))) - (-PMT(0.09/12,loan_amortization_years*12,purchase_price*loan_to_value)*12)</f>
        <v/>
      </c>
      <c r="K25" s="4">
        <f>(7500*12 - (7500*12*mgmt_fee_pct_of_rent + rm_annual + misc_annual + IF(is_pure_nnn=1,0,property_tax_annual+insurance_annual))) - (-PMT(0.095/12,loan_amortization_years*12,purchase_price*loan_to_value)*12)</f>
        <v/>
      </c>
      <c r="L25" s="4">
        <f>(7500*12 - (7500*12*mgmt_fee_pct_of_rent + rm_annual + misc_annual + IF(is_pure_nnn=1,0,property_tax_annual+insurance_annual))) - (-PMT(0.1/12,loan_amortization_years*12,purchase_price*loan_to_value)*12)</f>
        <v/>
      </c>
    </row>
    <row r="26">
      <c r="A26" s="28" t="n">
        <v>8000</v>
      </c>
      <c r="B26" s="4">
        <f>(8000*12 - (8000*12*mgmt_fee_pct_of_rent + rm_annual + misc_annual + IF(is_pure_nnn=1,0,property_tax_annual+insurance_annual))) - (-PMT(0.05/12,loan_amortization_years*12,purchase_price*loan_to_value)*12)</f>
        <v/>
      </c>
      <c r="C26" s="4">
        <f>(8000*12 - (8000*12*mgmt_fee_pct_of_rent + rm_annual + misc_annual + IF(is_pure_nnn=1,0,property_tax_annual+insurance_annual))) - (-PMT(0.055/12,loan_amortization_years*12,purchase_price*loan_to_value)*12)</f>
        <v/>
      </c>
      <c r="D26" s="4">
        <f>(8000*12 - (8000*12*mgmt_fee_pct_of_rent + rm_annual + misc_annual + IF(is_pure_nnn=1,0,property_tax_annual+insurance_annual))) - (-PMT(0.06/12,loan_amortization_years*12,purchase_price*loan_to_value)*12)</f>
        <v/>
      </c>
      <c r="E26" s="4">
        <f>(8000*12 - (8000*12*mgmt_fee_pct_of_rent + rm_annual + misc_annual + IF(is_pure_nnn=1,0,property_tax_annual+insurance_annual))) - (-PMT(0.065/12,loan_amortization_years*12,purchase_price*loan_to_value)*12)</f>
        <v/>
      </c>
      <c r="F26" s="4">
        <f>(8000*12 - (8000*12*mgmt_fee_pct_of_rent + rm_annual + misc_annual + IF(is_pure_nnn=1,0,property_tax_annual+insurance_annual))) - (-PMT(0.07/12,loan_amortization_years*12,purchase_price*loan_to_value)*12)</f>
        <v/>
      </c>
      <c r="G26" s="4">
        <f>(8000*12 - (8000*12*mgmt_fee_pct_of_rent + rm_annual + misc_annual + IF(is_pure_nnn=1,0,property_tax_annual+insurance_annual))) - (-PMT(0.075/12,loan_amortization_years*12,purchase_price*loan_to_value)*12)</f>
        <v/>
      </c>
      <c r="H26" s="4">
        <f>(8000*12 - (8000*12*mgmt_fee_pct_of_rent + rm_annual + misc_annual + IF(is_pure_nnn=1,0,property_tax_annual+insurance_annual))) - (-PMT(0.08/12,loan_amortization_years*12,purchase_price*loan_to_value)*12)</f>
        <v/>
      </c>
      <c r="I26" s="4">
        <f>(8000*12 - (8000*12*mgmt_fee_pct_of_rent + rm_annual + misc_annual + IF(is_pure_nnn=1,0,property_tax_annual+insurance_annual))) - (-PMT(0.085/12,loan_amortization_years*12,purchase_price*loan_to_value)*12)</f>
        <v/>
      </c>
      <c r="J26" s="4">
        <f>(8000*12 - (8000*12*mgmt_fee_pct_of_rent + rm_annual + misc_annual + IF(is_pure_nnn=1,0,property_tax_annual+insurance_annual))) - (-PMT(0.09/12,loan_amortization_years*12,purchase_price*loan_to_value)*12)</f>
        <v/>
      </c>
      <c r="K26" s="4">
        <f>(8000*12 - (8000*12*mgmt_fee_pct_of_rent + rm_annual + misc_annual + IF(is_pure_nnn=1,0,property_tax_annual+insurance_annual))) - (-PMT(0.095/12,loan_amortization_years*12,purchase_price*loan_to_value)*12)</f>
        <v/>
      </c>
      <c r="L26" s="4">
        <f>(8000*12 - (8000*12*mgmt_fee_pct_of_rent + rm_annual + misc_annual + IF(is_pure_nnn=1,0,property_tax_annual+insurance_annual))) - (-PMT(0.1/12,loan_amortization_years*12,purchase_price*loan_to_value)*12)</f>
        <v/>
      </c>
    </row>
    <row r="27">
      <c r="A27" s="28" t="n">
        <v>8500</v>
      </c>
      <c r="B27" s="4">
        <f>(8500*12 - (8500*12*mgmt_fee_pct_of_rent + rm_annual + misc_annual + IF(is_pure_nnn=1,0,property_tax_annual+insurance_annual))) - (-PMT(0.05/12,loan_amortization_years*12,purchase_price*loan_to_value)*12)</f>
        <v/>
      </c>
      <c r="C27" s="4">
        <f>(8500*12 - (8500*12*mgmt_fee_pct_of_rent + rm_annual + misc_annual + IF(is_pure_nnn=1,0,property_tax_annual+insurance_annual))) - (-PMT(0.055/12,loan_amortization_years*12,purchase_price*loan_to_value)*12)</f>
        <v/>
      </c>
      <c r="D27" s="4">
        <f>(8500*12 - (8500*12*mgmt_fee_pct_of_rent + rm_annual + misc_annual + IF(is_pure_nnn=1,0,property_tax_annual+insurance_annual))) - (-PMT(0.06/12,loan_amortization_years*12,purchase_price*loan_to_value)*12)</f>
        <v/>
      </c>
      <c r="E27" s="4">
        <f>(8500*12 - (8500*12*mgmt_fee_pct_of_rent + rm_annual + misc_annual + IF(is_pure_nnn=1,0,property_tax_annual+insurance_annual))) - (-PMT(0.065/12,loan_amortization_years*12,purchase_price*loan_to_value)*12)</f>
        <v/>
      </c>
      <c r="F27" s="4">
        <f>(8500*12 - (8500*12*mgmt_fee_pct_of_rent + rm_annual + misc_annual + IF(is_pure_nnn=1,0,property_tax_annual+insurance_annual))) - (-PMT(0.07/12,loan_amortization_years*12,purchase_price*loan_to_value)*12)</f>
        <v/>
      </c>
      <c r="G27" s="4">
        <f>(8500*12 - (8500*12*mgmt_fee_pct_of_rent + rm_annual + misc_annual + IF(is_pure_nnn=1,0,property_tax_annual+insurance_annual))) - (-PMT(0.075/12,loan_amortization_years*12,purchase_price*loan_to_value)*12)</f>
        <v/>
      </c>
      <c r="H27" s="4">
        <f>(8500*12 - (8500*12*mgmt_fee_pct_of_rent + rm_annual + misc_annual + IF(is_pure_nnn=1,0,property_tax_annual+insurance_annual))) - (-PMT(0.08/12,loan_amortization_years*12,purchase_price*loan_to_value)*12)</f>
        <v/>
      </c>
      <c r="I27" s="4">
        <f>(8500*12 - (8500*12*mgmt_fee_pct_of_rent + rm_annual + misc_annual + IF(is_pure_nnn=1,0,property_tax_annual+insurance_annual))) - (-PMT(0.085/12,loan_amortization_years*12,purchase_price*loan_to_value)*12)</f>
        <v/>
      </c>
      <c r="J27" s="4">
        <f>(8500*12 - (8500*12*mgmt_fee_pct_of_rent + rm_annual + misc_annual + IF(is_pure_nnn=1,0,property_tax_annual+insurance_annual))) - (-PMT(0.09/12,loan_amortization_years*12,purchase_price*loan_to_value)*12)</f>
        <v/>
      </c>
      <c r="K27" s="4">
        <f>(8500*12 - (8500*12*mgmt_fee_pct_of_rent + rm_annual + misc_annual + IF(is_pure_nnn=1,0,property_tax_annual+insurance_annual))) - (-PMT(0.095/12,loan_amortization_years*12,purchase_price*loan_to_value)*12)</f>
        <v/>
      </c>
      <c r="L27" s="4">
        <f>(8500*12 - (8500*12*mgmt_fee_pct_of_rent + rm_annual + misc_annual + IF(is_pure_nnn=1,0,property_tax_annual+insurance_annual))) - (-PMT(0.1/12,loan_amortization_years*12,purchase_price*loan_to_value)*12)</f>
        <v/>
      </c>
    </row>
    <row r="28">
      <c r="A28" s="28" t="n">
        <v>9000</v>
      </c>
      <c r="B28" s="4">
        <f>(9000*12 - (9000*12*mgmt_fee_pct_of_rent + rm_annual + misc_annual + IF(is_pure_nnn=1,0,property_tax_annual+insurance_annual))) - (-PMT(0.05/12,loan_amortization_years*12,purchase_price*loan_to_value)*12)</f>
        <v/>
      </c>
      <c r="C28" s="4">
        <f>(9000*12 - (9000*12*mgmt_fee_pct_of_rent + rm_annual + misc_annual + IF(is_pure_nnn=1,0,property_tax_annual+insurance_annual))) - (-PMT(0.055/12,loan_amortization_years*12,purchase_price*loan_to_value)*12)</f>
        <v/>
      </c>
      <c r="D28" s="4">
        <f>(9000*12 - (9000*12*mgmt_fee_pct_of_rent + rm_annual + misc_annual + IF(is_pure_nnn=1,0,property_tax_annual+insurance_annual))) - (-PMT(0.06/12,loan_amortization_years*12,purchase_price*loan_to_value)*12)</f>
        <v/>
      </c>
      <c r="E28" s="4">
        <f>(9000*12 - (9000*12*mgmt_fee_pct_of_rent + rm_annual + misc_annual + IF(is_pure_nnn=1,0,property_tax_annual+insurance_annual))) - (-PMT(0.065/12,loan_amortization_years*12,purchase_price*loan_to_value)*12)</f>
        <v/>
      </c>
      <c r="F28" s="4">
        <f>(9000*12 - (9000*12*mgmt_fee_pct_of_rent + rm_annual + misc_annual + IF(is_pure_nnn=1,0,property_tax_annual+insurance_annual))) - (-PMT(0.07/12,loan_amortization_years*12,purchase_price*loan_to_value)*12)</f>
        <v/>
      </c>
      <c r="G28" s="4">
        <f>(9000*12 - (9000*12*mgmt_fee_pct_of_rent + rm_annual + misc_annual + IF(is_pure_nnn=1,0,property_tax_annual+insurance_annual))) - (-PMT(0.075/12,loan_amortization_years*12,purchase_price*loan_to_value)*12)</f>
        <v/>
      </c>
      <c r="H28" s="4">
        <f>(9000*12 - (9000*12*mgmt_fee_pct_of_rent + rm_annual + misc_annual + IF(is_pure_nnn=1,0,property_tax_annual+insurance_annual))) - (-PMT(0.08/12,loan_amortization_years*12,purchase_price*loan_to_value)*12)</f>
        <v/>
      </c>
      <c r="I28" s="4">
        <f>(9000*12 - (9000*12*mgmt_fee_pct_of_rent + rm_annual + misc_annual + IF(is_pure_nnn=1,0,property_tax_annual+insurance_annual))) - (-PMT(0.085/12,loan_amortization_years*12,purchase_price*loan_to_value)*12)</f>
        <v/>
      </c>
      <c r="J28" s="4">
        <f>(9000*12 - (9000*12*mgmt_fee_pct_of_rent + rm_annual + misc_annual + IF(is_pure_nnn=1,0,property_tax_annual+insurance_annual))) - (-PMT(0.09/12,loan_amortization_years*12,purchase_price*loan_to_value)*12)</f>
        <v/>
      </c>
      <c r="K28" s="4">
        <f>(9000*12 - (9000*12*mgmt_fee_pct_of_rent + rm_annual + misc_annual + IF(is_pure_nnn=1,0,property_tax_annual+insurance_annual))) - (-PMT(0.095/12,loan_amortization_years*12,purchase_price*loan_to_value)*12)</f>
        <v/>
      </c>
      <c r="L28" s="4">
        <f>(9000*12 - (9000*12*mgmt_fee_pct_of_rent + rm_annual + misc_annual + IF(is_pure_nnn=1,0,property_tax_annual+insurance_annual))) - (-PMT(0.1/12,loan_amortization_years*12,purchase_price*loan_to_value)*12)</f>
        <v/>
      </c>
    </row>
    <row r="29">
      <c r="A29" s="28" t="n">
        <v>9500</v>
      </c>
      <c r="B29" s="4">
        <f>(9500*12 - (9500*12*mgmt_fee_pct_of_rent + rm_annual + misc_annual + IF(is_pure_nnn=1,0,property_tax_annual+insurance_annual))) - (-PMT(0.05/12,loan_amortization_years*12,purchase_price*loan_to_value)*12)</f>
        <v/>
      </c>
      <c r="C29" s="4">
        <f>(9500*12 - (9500*12*mgmt_fee_pct_of_rent + rm_annual + misc_annual + IF(is_pure_nnn=1,0,property_tax_annual+insurance_annual))) - (-PMT(0.055/12,loan_amortization_years*12,purchase_price*loan_to_value)*12)</f>
        <v/>
      </c>
      <c r="D29" s="4">
        <f>(9500*12 - (9500*12*mgmt_fee_pct_of_rent + rm_annual + misc_annual + IF(is_pure_nnn=1,0,property_tax_annual+insurance_annual))) - (-PMT(0.06/12,loan_amortization_years*12,purchase_price*loan_to_value)*12)</f>
        <v/>
      </c>
      <c r="E29" s="4">
        <f>(9500*12 - (9500*12*mgmt_fee_pct_of_rent + rm_annual + misc_annual + IF(is_pure_nnn=1,0,property_tax_annual+insurance_annual))) - (-PMT(0.065/12,loan_amortization_years*12,purchase_price*loan_to_value)*12)</f>
        <v/>
      </c>
      <c r="F29" s="4">
        <f>(9500*12 - (9500*12*mgmt_fee_pct_of_rent + rm_annual + misc_annual + IF(is_pure_nnn=1,0,property_tax_annual+insurance_annual))) - (-PMT(0.07/12,loan_amortization_years*12,purchase_price*loan_to_value)*12)</f>
        <v/>
      </c>
      <c r="G29" s="4">
        <f>(9500*12 - (9500*12*mgmt_fee_pct_of_rent + rm_annual + misc_annual + IF(is_pure_nnn=1,0,property_tax_annual+insurance_annual))) - (-PMT(0.075/12,loan_amortization_years*12,purchase_price*loan_to_value)*12)</f>
        <v/>
      </c>
      <c r="H29" s="4">
        <f>(9500*12 - (9500*12*mgmt_fee_pct_of_rent + rm_annual + misc_annual + IF(is_pure_nnn=1,0,property_tax_annual+insurance_annual))) - (-PMT(0.08/12,loan_amortization_years*12,purchase_price*loan_to_value)*12)</f>
        <v/>
      </c>
      <c r="I29" s="4">
        <f>(9500*12 - (9500*12*mgmt_fee_pct_of_rent + rm_annual + misc_annual + IF(is_pure_nnn=1,0,property_tax_annual+insurance_annual))) - (-PMT(0.085/12,loan_amortization_years*12,purchase_price*loan_to_value)*12)</f>
        <v/>
      </c>
      <c r="J29" s="4">
        <f>(9500*12 - (9500*12*mgmt_fee_pct_of_rent + rm_annual + misc_annual + IF(is_pure_nnn=1,0,property_tax_annual+insurance_annual))) - (-PMT(0.09/12,loan_amortization_years*12,purchase_price*loan_to_value)*12)</f>
        <v/>
      </c>
      <c r="K29" s="4">
        <f>(9500*12 - (9500*12*mgmt_fee_pct_of_rent + rm_annual + misc_annual + IF(is_pure_nnn=1,0,property_tax_annual+insurance_annual))) - (-PMT(0.095/12,loan_amortization_years*12,purchase_price*loan_to_value)*12)</f>
        <v/>
      </c>
      <c r="L29" s="4">
        <f>(9500*12 - (9500*12*mgmt_fee_pct_of_rent + rm_annual + misc_annual + IF(is_pure_nnn=1,0,property_tax_annual+insurance_annual))) - (-PMT(0.1/12,loan_amortization_years*12,purchase_price*loan_to_value)*12)</f>
        <v/>
      </c>
    </row>
    <row r="30">
      <c r="A30" s="28" t="n">
        <v>10000</v>
      </c>
      <c r="B30" s="4">
        <f>(10000*12 - (10000*12*mgmt_fee_pct_of_rent + rm_annual + misc_annual + IF(is_pure_nnn=1,0,property_tax_annual+insurance_annual))) - (-PMT(0.05/12,loan_amortization_years*12,purchase_price*loan_to_value)*12)</f>
        <v/>
      </c>
      <c r="C30" s="4">
        <f>(10000*12 - (10000*12*mgmt_fee_pct_of_rent + rm_annual + misc_annual + IF(is_pure_nnn=1,0,property_tax_annual+insurance_annual))) - (-PMT(0.055/12,loan_amortization_years*12,purchase_price*loan_to_value)*12)</f>
        <v/>
      </c>
      <c r="D30" s="4">
        <f>(10000*12 - (10000*12*mgmt_fee_pct_of_rent + rm_annual + misc_annual + IF(is_pure_nnn=1,0,property_tax_annual+insurance_annual))) - (-PMT(0.06/12,loan_amortization_years*12,purchase_price*loan_to_value)*12)</f>
        <v/>
      </c>
      <c r="E30" s="4">
        <f>(10000*12 - (10000*12*mgmt_fee_pct_of_rent + rm_annual + misc_annual + IF(is_pure_nnn=1,0,property_tax_annual+insurance_annual))) - (-PMT(0.065/12,loan_amortization_years*12,purchase_price*loan_to_value)*12)</f>
        <v/>
      </c>
      <c r="F30" s="4">
        <f>(10000*12 - (10000*12*mgmt_fee_pct_of_rent + rm_annual + misc_annual + IF(is_pure_nnn=1,0,property_tax_annual+insurance_annual))) - (-PMT(0.07/12,loan_amortization_years*12,purchase_price*loan_to_value)*12)</f>
        <v/>
      </c>
      <c r="G30" s="4">
        <f>(10000*12 - (10000*12*mgmt_fee_pct_of_rent + rm_annual + misc_annual + IF(is_pure_nnn=1,0,property_tax_annual+insurance_annual))) - (-PMT(0.075/12,loan_amortization_years*12,purchase_price*loan_to_value)*12)</f>
        <v/>
      </c>
      <c r="H30" s="4">
        <f>(10000*12 - (10000*12*mgmt_fee_pct_of_rent + rm_annual + misc_annual + IF(is_pure_nnn=1,0,property_tax_annual+insurance_annual))) - (-PMT(0.08/12,loan_amortization_years*12,purchase_price*loan_to_value)*12)</f>
        <v/>
      </c>
      <c r="I30" s="4">
        <f>(10000*12 - (10000*12*mgmt_fee_pct_of_rent + rm_annual + misc_annual + IF(is_pure_nnn=1,0,property_tax_annual+insurance_annual))) - (-PMT(0.085/12,loan_amortization_years*12,purchase_price*loan_to_value)*12)</f>
        <v/>
      </c>
      <c r="J30" s="4">
        <f>(10000*12 - (10000*12*mgmt_fee_pct_of_rent + rm_annual + misc_annual + IF(is_pure_nnn=1,0,property_tax_annual+insurance_annual))) - (-PMT(0.09/12,loan_amortization_years*12,purchase_price*loan_to_value)*12)</f>
        <v/>
      </c>
      <c r="K30" s="4">
        <f>(10000*12 - (10000*12*mgmt_fee_pct_of_rent + rm_annual + misc_annual + IF(is_pure_nnn=1,0,property_tax_annual+insurance_annual))) - (-PMT(0.095/12,loan_amortization_years*12,purchase_price*loan_to_value)*12)</f>
        <v/>
      </c>
      <c r="L30" s="4">
        <f>(10000*12 - (10000*12*mgmt_fee_pct_of_rent + rm_annual + misc_annual + IF(is_pure_nnn=1,0,property_tax_annual+insurance_annual))) - (-PMT(0.1/12,loan_amortization_years*12,purchase_price*loan_to_value)*12)</f>
        <v/>
      </c>
    </row>
    <row r="31">
      <c r="A31" s="28" t="n">
        <v>10500</v>
      </c>
      <c r="B31" s="4">
        <f>(10500*12 - (10500*12*mgmt_fee_pct_of_rent + rm_annual + misc_annual + IF(is_pure_nnn=1,0,property_tax_annual+insurance_annual))) - (-PMT(0.05/12,loan_amortization_years*12,purchase_price*loan_to_value)*12)</f>
        <v/>
      </c>
      <c r="C31" s="4">
        <f>(10500*12 - (10500*12*mgmt_fee_pct_of_rent + rm_annual + misc_annual + IF(is_pure_nnn=1,0,property_tax_annual+insurance_annual))) - (-PMT(0.055/12,loan_amortization_years*12,purchase_price*loan_to_value)*12)</f>
        <v/>
      </c>
      <c r="D31" s="4">
        <f>(10500*12 - (10500*12*mgmt_fee_pct_of_rent + rm_annual + misc_annual + IF(is_pure_nnn=1,0,property_tax_annual+insurance_annual))) - (-PMT(0.06/12,loan_amortization_years*12,purchase_price*loan_to_value)*12)</f>
        <v/>
      </c>
      <c r="E31" s="4">
        <f>(10500*12 - (10500*12*mgmt_fee_pct_of_rent + rm_annual + misc_annual + IF(is_pure_nnn=1,0,property_tax_annual+insurance_annual))) - (-PMT(0.065/12,loan_amortization_years*12,purchase_price*loan_to_value)*12)</f>
        <v/>
      </c>
      <c r="F31" s="4">
        <f>(10500*12 - (10500*12*mgmt_fee_pct_of_rent + rm_annual + misc_annual + IF(is_pure_nnn=1,0,property_tax_annual+insurance_annual))) - (-PMT(0.07/12,loan_amortization_years*12,purchase_price*loan_to_value)*12)</f>
        <v/>
      </c>
      <c r="G31" s="4">
        <f>(10500*12 - (10500*12*mgmt_fee_pct_of_rent + rm_annual + misc_annual + IF(is_pure_nnn=1,0,property_tax_annual+insurance_annual))) - (-PMT(0.075/12,loan_amortization_years*12,purchase_price*loan_to_value)*12)</f>
        <v/>
      </c>
      <c r="H31" s="4">
        <f>(10500*12 - (10500*12*mgmt_fee_pct_of_rent + rm_annual + misc_annual + IF(is_pure_nnn=1,0,property_tax_annual+insurance_annual))) - (-PMT(0.08/12,loan_amortization_years*12,purchase_price*loan_to_value)*12)</f>
        <v/>
      </c>
      <c r="I31" s="4">
        <f>(10500*12 - (10500*12*mgmt_fee_pct_of_rent + rm_annual + misc_annual + IF(is_pure_nnn=1,0,property_tax_annual+insurance_annual))) - (-PMT(0.085/12,loan_amortization_years*12,purchase_price*loan_to_value)*12)</f>
        <v/>
      </c>
      <c r="J31" s="4">
        <f>(10500*12 - (10500*12*mgmt_fee_pct_of_rent + rm_annual + misc_annual + IF(is_pure_nnn=1,0,property_tax_annual+insurance_annual))) - (-PMT(0.09/12,loan_amortization_years*12,purchase_price*loan_to_value)*12)</f>
        <v/>
      </c>
      <c r="K31" s="4">
        <f>(10500*12 - (10500*12*mgmt_fee_pct_of_rent + rm_annual + misc_annual + IF(is_pure_nnn=1,0,property_tax_annual+insurance_annual))) - (-PMT(0.095/12,loan_amortization_years*12,purchase_price*loan_to_value)*12)</f>
        <v/>
      </c>
      <c r="L31" s="4">
        <f>(10500*12 - (10500*12*mgmt_fee_pct_of_rent + rm_annual + misc_annual + IF(is_pure_nnn=1,0,property_tax_annual+insurance_annual))) - (-PMT(0.1/12,loan_amortization_years*12,purchase_price*loan_to_value)*12)</f>
        <v/>
      </c>
    </row>
    <row r="32">
      <c r="A32" s="28" t="n">
        <v>11000</v>
      </c>
      <c r="B32" s="4">
        <f>(11000*12 - (11000*12*mgmt_fee_pct_of_rent + rm_annual + misc_annual + IF(is_pure_nnn=1,0,property_tax_annual+insurance_annual))) - (-PMT(0.05/12,loan_amortization_years*12,purchase_price*loan_to_value)*12)</f>
        <v/>
      </c>
      <c r="C32" s="4">
        <f>(11000*12 - (11000*12*mgmt_fee_pct_of_rent + rm_annual + misc_annual + IF(is_pure_nnn=1,0,property_tax_annual+insurance_annual))) - (-PMT(0.055/12,loan_amortization_years*12,purchase_price*loan_to_value)*12)</f>
        <v/>
      </c>
      <c r="D32" s="4">
        <f>(11000*12 - (11000*12*mgmt_fee_pct_of_rent + rm_annual + misc_annual + IF(is_pure_nnn=1,0,property_tax_annual+insurance_annual))) - (-PMT(0.06/12,loan_amortization_years*12,purchase_price*loan_to_value)*12)</f>
        <v/>
      </c>
      <c r="E32" s="4">
        <f>(11000*12 - (11000*12*mgmt_fee_pct_of_rent + rm_annual + misc_annual + IF(is_pure_nnn=1,0,property_tax_annual+insurance_annual))) - (-PMT(0.065/12,loan_amortization_years*12,purchase_price*loan_to_value)*12)</f>
        <v/>
      </c>
      <c r="F32" s="4">
        <f>(11000*12 - (11000*12*mgmt_fee_pct_of_rent + rm_annual + misc_annual + IF(is_pure_nnn=1,0,property_tax_annual+insurance_annual))) - (-PMT(0.07/12,loan_amortization_years*12,purchase_price*loan_to_value)*12)</f>
        <v/>
      </c>
      <c r="G32" s="4">
        <f>(11000*12 - (11000*12*mgmt_fee_pct_of_rent + rm_annual + misc_annual + IF(is_pure_nnn=1,0,property_tax_annual+insurance_annual))) - (-PMT(0.075/12,loan_amortization_years*12,purchase_price*loan_to_value)*12)</f>
        <v/>
      </c>
      <c r="H32" s="4">
        <f>(11000*12 - (11000*12*mgmt_fee_pct_of_rent + rm_annual + misc_annual + IF(is_pure_nnn=1,0,property_tax_annual+insurance_annual))) - (-PMT(0.08/12,loan_amortization_years*12,purchase_price*loan_to_value)*12)</f>
        <v/>
      </c>
      <c r="I32" s="4">
        <f>(11000*12 - (11000*12*mgmt_fee_pct_of_rent + rm_annual + misc_annual + IF(is_pure_nnn=1,0,property_tax_annual+insurance_annual))) - (-PMT(0.085/12,loan_amortization_years*12,purchase_price*loan_to_value)*12)</f>
        <v/>
      </c>
      <c r="J32" s="4">
        <f>(11000*12 - (11000*12*mgmt_fee_pct_of_rent + rm_annual + misc_annual + IF(is_pure_nnn=1,0,property_tax_annual+insurance_annual))) - (-PMT(0.09/12,loan_amortization_years*12,purchase_price*loan_to_value)*12)</f>
        <v/>
      </c>
      <c r="K32" s="4">
        <f>(11000*12 - (11000*12*mgmt_fee_pct_of_rent + rm_annual + misc_annual + IF(is_pure_nnn=1,0,property_tax_annual+insurance_annual))) - (-PMT(0.095/12,loan_amortization_years*12,purchase_price*loan_to_value)*12)</f>
        <v/>
      </c>
      <c r="L32" s="4">
        <f>(11000*12 - (11000*12*mgmt_fee_pct_of_rent + rm_annual + misc_annual + IF(is_pure_nnn=1,0,property_tax_annual+insurance_annual))) - (-PMT(0.1/12,loan_amortization_years*12,purchase_price*loan_to_value)*12)</f>
        <v/>
      </c>
    </row>
    <row r="33">
      <c r="A33" s="28" t="n">
        <v>11500</v>
      </c>
      <c r="B33" s="4">
        <f>(11500*12 - (11500*12*mgmt_fee_pct_of_rent + rm_annual + misc_annual + IF(is_pure_nnn=1,0,property_tax_annual+insurance_annual))) - (-PMT(0.05/12,loan_amortization_years*12,purchase_price*loan_to_value)*12)</f>
        <v/>
      </c>
      <c r="C33" s="4">
        <f>(11500*12 - (11500*12*mgmt_fee_pct_of_rent + rm_annual + misc_annual + IF(is_pure_nnn=1,0,property_tax_annual+insurance_annual))) - (-PMT(0.055/12,loan_amortization_years*12,purchase_price*loan_to_value)*12)</f>
        <v/>
      </c>
      <c r="D33" s="4">
        <f>(11500*12 - (11500*12*mgmt_fee_pct_of_rent + rm_annual + misc_annual + IF(is_pure_nnn=1,0,property_tax_annual+insurance_annual))) - (-PMT(0.06/12,loan_amortization_years*12,purchase_price*loan_to_value)*12)</f>
        <v/>
      </c>
      <c r="E33" s="4">
        <f>(11500*12 - (11500*12*mgmt_fee_pct_of_rent + rm_annual + misc_annual + IF(is_pure_nnn=1,0,property_tax_annual+insurance_annual))) - (-PMT(0.065/12,loan_amortization_years*12,purchase_price*loan_to_value)*12)</f>
        <v/>
      </c>
      <c r="F33" s="4">
        <f>(11500*12 - (11500*12*mgmt_fee_pct_of_rent + rm_annual + misc_annual + IF(is_pure_nnn=1,0,property_tax_annual+insurance_annual))) - (-PMT(0.07/12,loan_amortization_years*12,purchase_price*loan_to_value)*12)</f>
        <v/>
      </c>
      <c r="G33" s="4">
        <f>(11500*12 - (11500*12*mgmt_fee_pct_of_rent + rm_annual + misc_annual + IF(is_pure_nnn=1,0,property_tax_annual+insurance_annual))) - (-PMT(0.075/12,loan_amortization_years*12,purchase_price*loan_to_value)*12)</f>
        <v/>
      </c>
      <c r="H33" s="4">
        <f>(11500*12 - (11500*12*mgmt_fee_pct_of_rent + rm_annual + misc_annual + IF(is_pure_nnn=1,0,property_tax_annual+insurance_annual))) - (-PMT(0.08/12,loan_amortization_years*12,purchase_price*loan_to_value)*12)</f>
        <v/>
      </c>
      <c r="I33" s="4">
        <f>(11500*12 - (11500*12*mgmt_fee_pct_of_rent + rm_annual + misc_annual + IF(is_pure_nnn=1,0,property_tax_annual+insurance_annual))) - (-PMT(0.085/12,loan_amortization_years*12,purchase_price*loan_to_value)*12)</f>
        <v/>
      </c>
      <c r="J33" s="4">
        <f>(11500*12 - (11500*12*mgmt_fee_pct_of_rent + rm_annual + misc_annual + IF(is_pure_nnn=1,0,property_tax_annual+insurance_annual))) - (-PMT(0.09/12,loan_amortization_years*12,purchase_price*loan_to_value)*12)</f>
        <v/>
      </c>
      <c r="K33" s="4">
        <f>(11500*12 - (11500*12*mgmt_fee_pct_of_rent + rm_annual + misc_annual + IF(is_pure_nnn=1,0,property_tax_annual+insurance_annual))) - (-PMT(0.095/12,loan_amortization_years*12,purchase_price*loan_to_value)*12)</f>
        <v/>
      </c>
      <c r="L33" s="4">
        <f>(11500*12 - (11500*12*mgmt_fee_pct_of_rent + rm_annual + misc_annual + IF(is_pure_nnn=1,0,property_tax_annual+insurance_annual))) - (-PMT(0.1/12,loan_amortization_years*12,purchase_price*loan_to_value)*12)</f>
        <v/>
      </c>
    </row>
    <row r="34">
      <c r="A34" s="28" t="n">
        <v>12000</v>
      </c>
      <c r="B34" s="4">
        <f>(12000*12 - (12000*12*mgmt_fee_pct_of_rent + rm_annual + misc_annual + IF(is_pure_nnn=1,0,property_tax_annual+insurance_annual))) - (-PMT(0.05/12,loan_amortization_years*12,purchase_price*loan_to_value)*12)</f>
        <v/>
      </c>
      <c r="C34" s="4">
        <f>(12000*12 - (12000*12*mgmt_fee_pct_of_rent + rm_annual + misc_annual + IF(is_pure_nnn=1,0,property_tax_annual+insurance_annual))) - (-PMT(0.055/12,loan_amortization_years*12,purchase_price*loan_to_value)*12)</f>
        <v/>
      </c>
      <c r="D34" s="4">
        <f>(12000*12 - (12000*12*mgmt_fee_pct_of_rent + rm_annual + misc_annual + IF(is_pure_nnn=1,0,property_tax_annual+insurance_annual))) - (-PMT(0.06/12,loan_amortization_years*12,purchase_price*loan_to_value)*12)</f>
        <v/>
      </c>
      <c r="E34" s="4">
        <f>(12000*12 - (12000*12*mgmt_fee_pct_of_rent + rm_annual + misc_annual + IF(is_pure_nnn=1,0,property_tax_annual+insurance_annual))) - (-PMT(0.065/12,loan_amortization_years*12,purchase_price*loan_to_value)*12)</f>
        <v/>
      </c>
      <c r="F34" s="4">
        <f>(12000*12 - (12000*12*mgmt_fee_pct_of_rent + rm_annual + misc_annual + IF(is_pure_nnn=1,0,property_tax_annual+insurance_annual))) - (-PMT(0.07/12,loan_amortization_years*12,purchase_price*loan_to_value)*12)</f>
        <v/>
      </c>
      <c r="G34" s="4">
        <f>(12000*12 - (12000*12*mgmt_fee_pct_of_rent + rm_annual + misc_annual + IF(is_pure_nnn=1,0,property_tax_annual+insurance_annual))) - (-PMT(0.075/12,loan_amortization_years*12,purchase_price*loan_to_value)*12)</f>
        <v/>
      </c>
      <c r="H34" s="4">
        <f>(12000*12 - (12000*12*mgmt_fee_pct_of_rent + rm_annual + misc_annual + IF(is_pure_nnn=1,0,property_tax_annual+insurance_annual))) - (-PMT(0.08/12,loan_amortization_years*12,purchase_price*loan_to_value)*12)</f>
        <v/>
      </c>
      <c r="I34" s="4">
        <f>(12000*12 - (12000*12*mgmt_fee_pct_of_rent + rm_annual + misc_annual + IF(is_pure_nnn=1,0,property_tax_annual+insurance_annual))) - (-PMT(0.085/12,loan_amortization_years*12,purchase_price*loan_to_value)*12)</f>
        <v/>
      </c>
      <c r="J34" s="4">
        <f>(12000*12 - (12000*12*mgmt_fee_pct_of_rent + rm_annual + misc_annual + IF(is_pure_nnn=1,0,property_tax_annual+insurance_annual))) - (-PMT(0.09/12,loan_amortization_years*12,purchase_price*loan_to_value)*12)</f>
        <v/>
      </c>
      <c r="K34" s="4">
        <f>(12000*12 - (12000*12*mgmt_fee_pct_of_rent + rm_annual + misc_annual + IF(is_pure_nnn=1,0,property_tax_annual+insurance_annual))) - (-PMT(0.095/12,loan_amortization_years*12,purchase_price*loan_to_value)*12)</f>
        <v/>
      </c>
      <c r="L34" s="4">
        <f>(12000*12 - (12000*12*mgmt_fee_pct_of_rent + rm_annual + misc_annual + IF(is_pure_nnn=1,0,property_tax_annual+insurance_annual))) - (-PMT(0.1/12,loan_amortization_years*12,purchase_price*loan_to_value)*12)</f>
        <v/>
      </c>
    </row>
    <row r="35">
      <c r="A35" s="28" t="n">
        <v>12500</v>
      </c>
      <c r="B35" s="4">
        <f>(12500*12 - (12500*12*mgmt_fee_pct_of_rent + rm_annual + misc_annual + IF(is_pure_nnn=1,0,property_tax_annual+insurance_annual))) - (-PMT(0.05/12,loan_amortization_years*12,purchase_price*loan_to_value)*12)</f>
        <v/>
      </c>
      <c r="C35" s="4">
        <f>(12500*12 - (12500*12*mgmt_fee_pct_of_rent + rm_annual + misc_annual + IF(is_pure_nnn=1,0,property_tax_annual+insurance_annual))) - (-PMT(0.055/12,loan_amortization_years*12,purchase_price*loan_to_value)*12)</f>
        <v/>
      </c>
      <c r="D35" s="4">
        <f>(12500*12 - (12500*12*mgmt_fee_pct_of_rent + rm_annual + misc_annual + IF(is_pure_nnn=1,0,property_tax_annual+insurance_annual))) - (-PMT(0.06/12,loan_amortization_years*12,purchase_price*loan_to_value)*12)</f>
        <v/>
      </c>
      <c r="E35" s="4">
        <f>(12500*12 - (12500*12*mgmt_fee_pct_of_rent + rm_annual + misc_annual + IF(is_pure_nnn=1,0,property_tax_annual+insurance_annual))) - (-PMT(0.065/12,loan_amortization_years*12,purchase_price*loan_to_value)*12)</f>
        <v/>
      </c>
      <c r="F35" s="4">
        <f>(12500*12 - (12500*12*mgmt_fee_pct_of_rent + rm_annual + misc_annual + IF(is_pure_nnn=1,0,property_tax_annual+insurance_annual))) - (-PMT(0.07/12,loan_amortization_years*12,purchase_price*loan_to_value)*12)</f>
        <v/>
      </c>
      <c r="G35" s="4">
        <f>(12500*12 - (12500*12*mgmt_fee_pct_of_rent + rm_annual + misc_annual + IF(is_pure_nnn=1,0,property_tax_annual+insurance_annual))) - (-PMT(0.075/12,loan_amortization_years*12,purchase_price*loan_to_value)*12)</f>
        <v/>
      </c>
      <c r="H35" s="4">
        <f>(12500*12 - (12500*12*mgmt_fee_pct_of_rent + rm_annual + misc_annual + IF(is_pure_nnn=1,0,property_tax_annual+insurance_annual))) - (-PMT(0.08/12,loan_amortization_years*12,purchase_price*loan_to_value)*12)</f>
        <v/>
      </c>
      <c r="I35" s="4">
        <f>(12500*12 - (12500*12*mgmt_fee_pct_of_rent + rm_annual + misc_annual + IF(is_pure_nnn=1,0,property_tax_annual+insurance_annual))) - (-PMT(0.085/12,loan_amortization_years*12,purchase_price*loan_to_value)*12)</f>
        <v/>
      </c>
      <c r="J35" s="4">
        <f>(12500*12 - (12500*12*mgmt_fee_pct_of_rent + rm_annual + misc_annual + IF(is_pure_nnn=1,0,property_tax_annual+insurance_annual))) - (-PMT(0.09/12,loan_amortization_years*12,purchase_price*loan_to_value)*12)</f>
        <v/>
      </c>
      <c r="K35" s="4">
        <f>(12500*12 - (12500*12*mgmt_fee_pct_of_rent + rm_annual + misc_annual + IF(is_pure_nnn=1,0,property_tax_annual+insurance_annual))) - (-PMT(0.095/12,loan_amortization_years*12,purchase_price*loan_to_value)*12)</f>
        <v/>
      </c>
      <c r="L35" s="4">
        <f>(12500*12 - (12500*12*mgmt_fee_pct_of_rent + rm_annual + misc_annual + IF(is_pure_nnn=1,0,property_tax_annual+insurance_annual))) - (-PMT(0.1/12,loan_amortization_years*12,purchase_price*loan_to_value)*12)</f>
        <v/>
      </c>
    </row>
    <row r="36">
      <c r="A36" s="28" t="n">
        <v>13000</v>
      </c>
      <c r="B36" s="4">
        <f>(13000*12 - (13000*12*mgmt_fee_pct_of_rent + rm_annual + misc_annual + IF(is_pure_nnn=1,0,property_tax_annual+insurance_annual))) - (-PMT(0.05/12,loan_amortization_years*12,purchase_price*loan_to_value)*12)</f>
        <v/>
      </c>
      <c r="C36" s="4">
        <f>(13000*12 - (13000*12*mgmt_fee_pct_of_rent + rm_annual + misc_annual + IF(is_pure_nnn=1,0,property_tax_annual+insurance_annual))) - (-PMT(0.055/12,loan_amortization_years*12,purchase_price*loan_to_value)*12)</f>
        <v/>
      </c>
      <c r="D36" s="4">
        <f>(13000*12 - (13000*12*mgmt_fee_pct_of_rent + rm_annual + misc_annual + IF(is_pure_nnn=1,0,property_tax_annual+insurance_annual))) - (-PMT(0.06/12,loan_amortization_years*12,purchase_price*loan_to_value)*12)</f>
        <v/>
      </c>
      <c r="E36" s="4">
        <f>(13000*12 - (13000*12*mgmt_fee_pct_of_rent + rm_annual + misc_annual + IF(is_pure_nnn=1,0,property_tax_annual+insurance_annual))) - (-PMT(0.065/12,loan_amortization_years*12,purchase_price*loan_to_value)*12)</f>
        <v/>
      </c>
      <c r="F36" s="4">
        <f>(13000*12 - (13000*12*mgmt_fee_pct_of_rent + rm_annual + misc_annual + IF(is_pure_nnn=1,0,property_tax_annual+insurance_annual))) - (-PMT(0.07/12,loan_amortization_years*12,purchase_price*loan_to_value)*12)</f>
        <v/>
      </c>
      <c r="G36" s="4">
        <f>(13000*12 - (13000*12*mgmt_fee_pct_of_rent + rm_annual + misc_annual + IF(is_pure_nnn=1,0,property_tax_annual+insurance_annual))) - (-PMT(0.075/12,loan_amortization_years*12,purchase_price*loan_to_value)*12)</f>
        <v/>
      </c>
      <c r="H36" s="4">
        <f>(13000*12 - (13000*12*mgmt_fee_pct_of_rent + rm_annual + misc_annual + IF(is_pure_nnn=1,0,property_tax_annual+insurance_annual))) - (-PMT(0.08/12,loan_amortization_years*12,purchase_price*loan_to_value)*12)</f>
        <v/>
      </c>
      <c r="I36" s="4">
        <f>(13000*12 - (13000*12*mgmt_fee_pct_of_rent + rm_annual + misc_annual + IF(is_pure_nnn=1,0,property_tax_annual+insurance_annual))) - (-PMT(0.085/12,loan_amortization_years*12,purchase_price*loan_to_value)*12)</f>
        <v/>
      </c>
      <c r="J36" s="4">
        <f>(13000*12 - (13000*12*mgmt_fee_pct_of_rent + rm_annual + misc_annual + IF(is_pure_nnn=1,0,property_tax_annual+insurance_annual))) - (-PMT(0.09/12,loan_amortization_years*12,purchase_price*loan_to_value)*12)</f>
        <v/>
      </c>
      <c r="K36" s="4">
        <f>(13000*12 - (13000*12*mgmt_fee_pct_of_rent + rm_annual + misc_annual + IF(is_pure_nnn=1,0,property_tax_annual+insurance_annual))) - (-PMT(0.095/12,loan_amortization_years*12,purchase_price*loan_to_value)*12)</f>
        <v/>
      </c>
      <c r="L36" s="4">
        <f>(13000*12 - (13000*12*mgmt_fee_pct_of_rent + rm_annual + misc_annual + IF(is_pure_nnn=1,0,property_tax_annual+insurance_annual))) - (-PMT(0.1/12,loan_amortization_years*12,purchase_price*loan_to_value)*12)</f>
        <v/>
      </c>
    </row>
    <row r="39">
      <c r="A39" s="10" t="inlineStr">
        <is>
          <t>TABLE 3 — Approx N-yr return per $70K position:  rent × cap rate</t>
        </is>
      </c>
    </row>
    <row r="41">
      <c r="A41" s="20" t="inlineStr">
        <is>
          <t>Yr1 Rent ↓ / Cap Rate →</t>
        </is>
      </c>
      <c r="B41" s="27" t="n">
        <v>0.06</v>
      </c>
      <c r="C41" s="27" t="n">
        <v>0.065</v>
      </c>
      <c r="D41" s="27" t="n">
        <v>0.07000000000000001</v>
      </c>
      <c r="E41" s="27" t="n">
        <v>0.075</v>
      </c>
      <c r="F41" s="27" t="n">
        <v>0.08</v>
      </c>
      <c r="G41" s="27" t="n">
        <v>0.08500000000000001</v>
      </c>
      <c r="H41" s="27" t="n">
        <v>0.09</v>
      </c>
      <c r="I41" s="27" t="n">
        <v>0.095</v>
      </c>
      <c r="J41" s="27" t="n">
        <v>0.1</v>
      </c>
    </row>
    <row r="42">
      <c r="A42" s="28" t="n">
        <v>7000</v>
      </c>
      <c r="B42" s="30">
        <f>((((7000*(1+rent_annual_escalator)^(hold_period_years-1)*12 - (7000*(1+rent_annual_escalator)^(hold_period_years-1)*12*mgmt_fee_pct_of_rent + rm_annual + misc_annual + IF(is_pure_nnn=1,0,property_tax_annual+insurance_annual)))/0.06) - purchase_price - title_fees) * 0.14) / 70000) / hold_period_years</f>
        <v/>
      </c>
      <c r="C42" s="30">
        <f>((((7000*(1+rent_annual_escalator)^(hold_period_years-1)*12 - (7000*(1+rent_annual_escalator)^(hold_period_years-1)*12*mgmt_fee_pct_of_rent + rm_annual + misc_annual + IF(is_pure_nnn=1,0,property_tax_annual+insurance_annual)))/0.065) - purchase_price - title_fees) * 0.14) / 70000) / hold_period_years</f>
        <v/>
      </c>
      <c r="D42" s="30">
        <f>((((7000*(1+rent_annual_escalator)^(hold_period_years-1)*12 - (7000*(1+rent_annual_escalator)^(hold_period_years-1)*12*mgmt_fee_pct_of_rent + rm_annual + misc_annual + IF(is_pure_nnn=1,0,property_tax_annual+insurance_annual)))/0.07) - purchase_price - title_fees) * 0.14) / 70000) / hold_period_years</f>
        <v/>
      </c>
      <c r="E42" s="30">
        <f>((((7000*(1+rent_annual_escalator)^(hold_period_years-1)*12 - (7000*(1+rent_annual_escalator)^(hold_period_years-1)*12*mgmt_fee_pct_of_rent + rm_annual + misc_annual + IF(is_pure_nnn=1,0,property_tax_annual+insurance_annual)))/0.075) - purchase_price - title_fees) * 0.14) / 70000) / hold_period_years</f>
        <v/>
      </c>
      <c r="F42" s="30">
        <f>((((7000*(1+rent_annual_escalator)^(hold_period_years-1)*12 - (7000*(1+rent_annual_escalator)^(hold_period_years-1)*12*mgmt_fee_pct_of_rent + rm_annual + misc_annual + IF(is_pure_nnn=1,0,property_tax_annual+insurance_annual)))/0.08) - purchase_price - title_fees) * 0.14) / 70000) / hold_period_years</f>
        <v/>
      </c>
      <c r="G42" s="30">
        <f>((((7000*(1+rent_annual_escalator)^(hold_period_years-1)*12 - (7000*(1+rent_annual_escalator)^(hold_period_years-1)*12*mgmt_fee_pct_of_rent + rm_annual + misc_annual + IF(is_pure_nnn=1,0,property_tax_annual+insurance_annual)))/0.085) - purchase_price - title_fees) * 0.14) / 70000) / hold_period_years</f>
        <v/>
      </c>
      <c r="H42" s="30">
        <f>((((7000*(1+rent_annual_escalator)^(hold_period_years-1)*12 - (7000*(1+rent_annual_escalator)^(hold_period_years-1)*12*mgmt_fee_pct_of_rent + rm_annual + misc_annual + IF(is_pure_nnn=1,0,property_tax_annual+insurance_annual)))/0.09) - purchase_price - title_fees) * 0.14) / 70000) / hold_period_years</f>
        <v/>
      </c>
      <c r="I42" s="30">
        <f>((((7000*(1+rent_annual_escalator)^(hold_period_years-1)*12 - (7000*(1+rent_annual_escalator)^(hold_period_years-1)*12*mgmt_fee_pct_of_rent + rm_annual + misc_annual + IF(is_pure_nnn=1,0,property_tax_annual+insurance_annual)))/0.095) - purchase_price - title_fees) * 0.14) / 70000) / hold_period_years</f>
        <v/>
      </c>
      <c r="J42" s="30">
        <f>((((7000*(1+rent_annual_escalator)^(hold_period_years-1)*12 - (7000*(1+rent_annual_escalator)^(hold_period_years-1)*12*mgmt_fee_pct_of_rent + rm_annual + misc_annual + IF(is_pure_nnn=1,0,property_tax_annual+insurance_annual)))/0.1) - purchase_price - title_fees) * 0.14) / 70000) / hold_period_years</f>
        <v/>
      </c>
    </row>
    <row r="43">
      <c r="A43" s="28" t="n">
        <v>7500</v>
      </c>
      <c r="B43" s="30">
        <f>((((7500*(1+rent_annual_escalator)^(hold_period_years-1)*12 - (7500*(1+rent_annual_escalator)^(hold_period_years-1)*12*mgmt_fee_pct_of_rent + rm_annual + misc_annual + IF(is_pure_nnn=1,0,property_tax_annual+insurance_annual)))/0.06) - purchase_price - title_fees) * 0.14) / 70000) / hold_period_years</f>
        <v/>
      </c>
      <c r="C43" s="30">
        <f>((((7500*(1+rent_annual_escalator)^(hold_period_years-1)*12 - (7500*(1+rent_annual_escalator)^(hold_period_years-1)*12*mgmt_fee_pct_of_rent + rm_annual + misc_annual + IF(is_pure_nnn=1,0,property_tax_annual+insurance_annual)))/0.065) - purchase_price - title_fees) * 0.14) / 70000) / hold_period_years</f>
        <v/>
      </c>
      <c r="D43" s="30">
        <f>((((7500*(1+rent_annual_escalator)^(hold_period_years-1)*12 - (7500*(1+rent_annual_escalator)^(hold_period_years-1)*12*mgmt_fee_pct_of_rent + rm_annual + misc_annual + IF(is_pure_nnn=1,0,property_tax_annual+insurance_annual)))/0.07) - purchase_price - title_fees) * 0.14) / 70000) / hold_period_years</f>
        <v/>
      </c>
      <c r="E43" s="30">
        <f>((((7500*(1+rent_annual_escalator)^(hold_period_years-1)*12 - (7500*(1+rent_annual_escalator)^(hold_period_years-1)*12*mgmt_fee_pct_of_rent + rm_annual + misc_annual + IF(is_pure_nnn=1,0,property_tax_annual+insurance_annual)))/0.075) - purchase_price - title_fees) * 0.14) / 70000) / hold_period_years</f>
        <v/>
      </c>
      <c r="F43" s="30">
        <f>((((7500*(1+rent_annual_escalator)^(hold_period_years-1)*12 - (7500*(1+rent_annual_escalator)^(hold_period_years-1)*12*mgmt_fee_pct_of_rent + rm_annual + misc_annual + IF(is_pure_nnn=1,0,property_tax_annual+insurance_annual)))/0.08) - purchase_price - title_fees) * 0.14) / 70000) / hold_period_years</f>
        <v/>
      </c>
      <c r="G43" s="30">
        <f>((((7500*(1+rent_annual_escalator)^(hold_period_years-1)*12 - (7500*(1+rent_annual_escalator)^(hold_period_years-1)*12*mgmt_fee_pct_of_rent + rm_annual + misc_annual + IF(is_pure_nnn=1,0,property_tax_annual+insurance_annual)))/0.085) - purchase_price - title_fees) * 0.14) / 70000) / hold_period_years</f>
        <v/>
      </c>
      <c r="H43" s="30">
        <f>((((7500*(1+rent_annual_escalator)^(hold_period_years-1)*12 - (7500*(1+rent_annual_escalator)^(hold_period_years-1)*12*mgmt_fee_pct_of_rent + rm_annual + misc_annual + IF(is_pure_nnn=1,0,property_tax_annual+insurance_annual)))/0.09) - purchase_price - title_fees) * 0.14) / 70000) / hold_period_years</f>
        <v/>
      </c>
      <c r="I43" s="30">
        <f>((((7500*(1+rent_annual_escalator)^(hold_period_years-1)*12 - (7500*(1+rent_annual_escalator)^(hold_period_years-1)*12*mgmt_fee_pct_of_rent + rm_annual + misc_annual + IF(is_pure_nnn=1,0,property_tax_annual+insurance_annual)))/0.095) - purchase_price - title_fees) * 0.14) / 70000) / hold_period_years</f>
        <v/>
      </c>
      <c r="J43" s="30">
        <f>((((7500*(1+rent_annual_escalator)^(hold_period_years-1)*12 - (7500*(1+rent_annual_escalator)^(hold_period_years-1)*12*mgmt_fee_pct_of_rent + rm_annual + misc_annual + IF(is_pure_nnn=1,0,property_tax_annual+insurance_annual)))/0.1) - purchase_price - title_fees) * 0.14) / 70000) / hold_period_years</f>
        <v/>
      </c>
    </row>
    <row r="44">
      <c r="A44" s="28" t="n">
        <v>8000</v>
      </c>
      <c r="B44" s="30">
        <f>((((8000*(1+rent_annual_escalator)^(hold_period_years-1)*12 - (8000*(1+rent_annual_escalator)^(hold_period_years-1)*12*mgmt_fee_pct_of_rent + rm_annual + misc_annual + IF(is_pure_nnn=1,0,property_tax_annual+insurance_annual)))/0.06) - purchase_price - title_fees) * 0.14) / 70000) / hold_period_years</f>
        <v/>
      </c>
      <c r="C44" s="30">
        <f>((((8000*(1+rent_annual_escalator)^(hold_period_years-1)*12 - (8000*(1+rent_annual_escalator)^(hold_period_years-1)*12*mgmt_fee_pct_of_rent + rm_annual + misc_annual + IF(is_pure_nnn=1,0,property_tax_annual+insurance_annual)))/0.065) - purchase_price - title_fees) * 0.14) / 70000) / hold_period_years</f>
        <v/>
      </c>
      <c r="D44" s="30">
        <f>((((8000*(1+rent_annual_escalator)^(hold_period_years-1)*12 - (8000*(1+rent_annual_escalator)^(hold_period_years-1)*12*mgmt_fee_pct_of_rent + rm_annual + misc_annual + IF(is_pure_nnn=1,0,property_tax_annual+insurance_annual)))/0.07) - purchase_price - title_fees) * 0.14) / 70000) / hold_period_years</f>
        <v/>
      </c>
      <c r="E44" s="30">
        <f>((((8000*(1+rent_annual_escalator)^(hold_period_years-1)*12 - (8000*(1+rent_annual_escalator)^(hold_period_years-1)*12*mgmt_fee_pct_of_rent + rm_annual + misc_annual + IF(is_pure_nnn=1,0,property_tax_annual+insurance_annual)))/0.075) - purchase_price - title_fees) * 0.14) / 70000) / hold_period_years</f>
        <v/>
      </c>
      <c r="F44" s="30">
        <f>((((8000*(1+rent_annual_escalator)^(hold_period_years-1)*12 - (8000*(1+rent_annual_escalator)^(hold_period_years-1)*12*mgmt_fee_pct_of_rent + rm_annual + misc_annual + IF(is_pure_nnn=1,0,property_tax_annual+insurance_annual)))/0.08) - purchase_price - title_fees) * 0.14) / 70000) / hold_period_years</f>
        <v/>
      </c>
      <c r="G44" s="30">
        <f>((((8000*(1+rent_annual_escalator)^(hold_period_years-1)*12 - (8000*(1+rent_annual_escalator)^(hold_period_years-1)*12*mgmt_fee_pct_of_rent + rm_annual + misc_annual + IF(is_pure_nnn=1,0,property_tax_annual+insurance_annual)))/0.085) - purchase_price - title_fees) * 0.14) / 70000) / hold_period_years</f>
        <v/>
      </c>
      <c r="H44" s="30">
        <f>((((8000*(1+rent_annual_escalator)^(hold_period_years-1)*12 - (8000*(1+rent_annual_escalator)^(hold_period_years-1)*12*mgmt_fee_pct_of_rent + rm_annual + misc_annual + IF(is_pure_nnn=1,0,property_tax_annual+insurance_annual)))/0.09) - purchase_price - title_fees) * 0.14) / 70000) / hold_period_years</f>
        <v/>
      </c>
      <c r="I44" s="30">
        <f>((((8000*(1+rent_annual_escalator)^(hold_period_years-1)*12 - (8000*(1+rent_annual_escalator)^(hold_period_years-1)*12*mgmt_fee_pct_of_rent + rm_annual + misc_annual + IF(is_pure_nnn=1,0,property_tax_annual+insurance_annual)))/0.095) - purchase_price - title_fees) * 0.14) / 70000) / hold_period_years</f>
        <v/>
      </c>
      <c r="J44" s="30">
        <f>((((8000*(1+rent_annual_escalator)^(hold_period_years-1)*12 - (8000*(1+rent_annual_escalator)^(hold_period_years-1)*12*mgmt_fee_pct_of_rent + rm_annual + misc_annual + IF(is_pure_nnn=1,0,property_tax_annual+insurance_annual)))/0.1) - purchase_price - title_fees) * 0.14) / 70000) / hold_period_years</f>
        <v/>
      </c>
    </row>
    <row r="45">
      <c r="A45" s="28" t="n">
        <v>8500</v>
      </c>
      <c r="B45" s="30">
        <f>((((8500*(1+rent_annual_escalator)^(hold_period_years-1)*12 - (8500*(1+rent_annual_escalator)^(hold_period_years-1)*12*mgmt_fee_pct_of_rent + rm_annual + misc_annual + IF(is_pure_nnn=1,0,property_tax_annual+insurance_annual)))/0.06) - purchase_price - title_fees) * 0.14) / 70000) / hold_period_years</f>
        <v/>
      </c>
      <c r="C45" s="30">
        <f>((((8500*(1+rent_annual_escalator)^(hold_period_years-1)*12 - (8500*(1+rent_annual_escalator)^(hold_period_years-1)*12*mgmt_fee_pct_of_rent + rm_annual + misc_annual + IF(is_pure_nnn=1,0,property_tax_annual+insurance_annual)))/0.065) - purchase_price - title_fees) * 0.14) / 70000) / hold_period_years</f>
        <v/>
      </c>
      <c r="D45" s="30">
        <f>((((8500*(1+rent_annual_escalator)^(hold_period_years-1)*12 - (8500*(1+rent_annual_escalator)^(hold_period_years-1)*12*mgmt_fee_pct_of_rent + rm_annual + misc_annual + IF(is_pure_nnn=1,0,property_tax_annual+insurance_annual)))/0.07) - purchase_price - title_fees) * 0.14) / 70000) / hold_period_years</f>
        <v/>
      </c>
      <c r="E45" s="30">
        <f>((((8500*(1+rent_annual_escalator)^(hold_period_years-1)*12 - (8500*(1+rent_annual_escalator)^(hold_period_years-1)*12*mgmt_fee_pct_of_rent + rm_annual + misc_annual + IF(is_pure_nnn=1,0,property_tax_annual+insurance_annual)))/0.075) - purchase_price - title_fees) * 0.14) / 70000) / hold_period_years</f>
        <v/>
      </c>
      <c r="F45" s="30">
        <f>((((8500*(1+rent_annual_escalator)^(hold_period_years-1)*12 - (8500*(1+rent_annual_escalator)^(hold_period_years-1)*12*mgmt_fee_pct_of_rent + rm_annual + misc_annual + IF(is_pure_nnn=1,0,property_tax_annual+insurance_annual)))/0.08) - purchase_price - title_fees) * 0.14) / 70000) / hold_period_years</f>
        <v/>
      </c>
      <c r="G45" s="30">
        <f>((((8500*(1+rent_annual_escalator)^(hold_period_years-1)*12 - (8500*(1+rent_annual_escalator)^(hold_period_years-1)*12*mgmt_fee_pct_of_rent + rm_annual + misc_annual + IF(is_pure_nnn=1,0,property_tax_annual+insurance_annual)))/0.085) - purchase_price - title_fees) * 0.14) / 70000) / hold_period_years</f>
        <v/>
      </c>
      <c r="H45" s="30">
        <f>((((8500*(1+rent_annual_escalator)^(hold_period_years-1)*12 - (8500*(1+rent_annual_escalator)^(hold_period_years-1)*12*mgmt_fee_pct_of_rent + rm_annual + misc_annual + IF(is_pure_nnn=1,0,property_tax_annual+insurance_annual)))/0.09) - purchase_price - title_fees) * 0.14) / 70000) / hold_period_years</f>
        <v/>
      </c>
      <c r="I45" s="30">
        <f>((((8500*(1+rent_annual_escalator)^(hold_period_years-1)*12 - (8500*(1+rent_annual_escalator)^(hold_period_years-1)*12*mgmt_fee_pct_of_rent + rm_annual + misc_annual + IF(is_pure_nnn=1,0,property_tax_annual+insurance_annual)))/0.095) - purchase_price - title_fees) * 0.14) / 70000) / hold_period_years</f>
        <v/>
      </c>
      <c r="J45" s="30">
        <f>((((8500*(1+rent_annual_escalator)^(hold_period_years-1)*12 - (8500*(1+rent_annual_escalator)^(hold_period_years-1)*12*mgmt_fee_pct_of_rent + rm_annual + misc_annual + IF(is_pure_nnn=1,0,property_tax_annual+insurance_annual)))/0.1) - purchase_price - title_fees) * 0.14) / 70000) / hold_period_years</f>
        <v/>
      </c>
    </row>
    <row r="46">
      <c r="A46" s="28" t="n">
        <v>9000</v>
      </c>
      <c r="B46" s="30">
        <f>((((9000*(1+rent_annual_escalator)^(hold_period_years-1)*12 - (9000*(1+rent_annual_escalator)^(hold_period_years-1)*12*mgmt_fee_pct_of_rent + rm_annual + misc_annual + IF(is_pure_nnn=1,0,property_tax_annual+insurance_annual)))/0.06) - purchase_price - title_fees) * 0.14) / 70000) / hold_period_years</f>
        <v/>
      </c>
      <c r="C46" s="30">
        <f>((((9000*(1+rent_annual_escalator)^(hold_period_years-1)*12 - (9000*(1+rent_annual_escalator)^(hold_period_years-1)*12*mgmt_fee_pct_of_rent + rm_annual + misc_annual + IF(is_pure_nnn=1,0,property_tax_annual+insurance_annual)))/0.065) - purchase_price - title_fees) * 0.14) / 70000) / hold_period_years</f>
        <v/>
      </c>
      <c r="D46" s="30">
        <f>((((9000*(1+rent_annual_escalator)^(hold_period_years-1)*12 - (9000*(1+rent_annual_escalator)^(hold_period_years-1)*12*mgmt_fee_pct_of_rent + rm_annual + misc_annual + IF(is_pure_nnn=1,0,property_tax_annual+insurance_annual)))/0.07) - purchase_price - title_fees) * 0.14) / 70000) / hold_period_years</f>
        <v/>
      </c>
      <c r="E46" s="30">
        <f>((((9000*(1+rent_annual_escalator)^(hold_period_years-1)*12 - (9000*(1+rent_annual_escalator)^(hold_period_years-1)*12*mgmt_fee_pct_of_rent + rm_annual + misc_annual + IF(is_pure_nnn=1,0,property_tax_annual+insurance_annual)))/0.075) - purchase_price - title_fees) * 0.14) / 70000) / hold_period_years</f>
        <v/>
      </c>
      <c r="F46" s="30">
        <f>((((9000*(1+rent_annual_escalator)^(hold_period_years-1)*12 - (9000*(1+rent_annual_escalator)^(hold_period_years-1)*12*mgmt_fee_pct_of_rent + rm_annual + misc_annual + IF(is_pure_nnn=1,0,property_tax_annual+insurance_annual)))/0.08) - purchase_price - title_fees) * 0.14) / 70000) / hold_period_years</f>
        <v/>
      </c>
      <c r="G46" s="30">
        <f>((((9000*(1+rent_annual_escalator)^(hold_period_years-1)*12 - (9000*(1+rent_annual_escalator)^(hold_period_years-1)*12*mgmt_fee_pct_of_rent + rm_annual + misc_annual + IF(is_pure_nnn=1,0,property_tax_annual+insurance_annual)))/0.085) - purchase_price - title_fees) * 0.14) / 70000) / hold_period_years</f>
        <v/>
      </c>
      <c r="H46" s="30">
        <f>((((9000*(1+rent_annual_escalator)^(hold_period_years-1)*12 - (9000*(1+rent_annual_escalator)^(hold_period_years-1)*12*mgmt_fee_pct_of_rent + rm_annual + misc_annual + IF(is_pure_nnn=1,0,property_tax_annual+insurance_annual)))/0.09) - purchase_price - title_fees) * 0.14) / 70000) / hold_period_years</f>
        <v/>
      </c>
      <c r="I46" s="30">
        <f>((((9000*(1+rent_annual_escalator)^(hold_period_years-1)*12 - (9000*(1+rent_annual_escalator)^(hold_period_years-1)*12*mgmt_fee_pct_of_rent + rm_annual + misc_annual + IF(is_pure_nnn=1,0,property_tax_annual+insurance_annual)))/0.095) - purchase_price - title_fees) * 0.14) / 70000) / hold_period_years</f>
        <v/>
      </c>
      <c r="J46" s="30">
        <f>((((9000*(1+rent_annual_escalator)^(hold_period_years-1)*12 - (9000*(1+rent_annual_escalator)^(hold_period_years-1)*12*mgmt_fee_pct_of_rent + rm_annual + misc_annual + IF(is_pure_nnn=1,0,property_tax_annual+insurance_annual)))/0.1) - purchase_price - title_fees) * 0.14) / 70000) / hold_period_years</f>
        <v/>
      </c>
    </row>
    <row r="47">
      <c r="A47" s="28" t="n">
        <v>9500</v>
      </c>
      <c r="B47" s="30">
        <f>((((9500*(1+rent_annual_escalator)^(hold_period_years-1)*12 - (9500*(1+rent_annual_escalator)^(hold_period_years-1)*12*mgmt_fee_pct_of_rent + rm_annual + misc_annual + IF(is_pure_nnn=1,0,property_tax_annual+insurance_annual)))/0.06) - purchase_price - title_fees) * 0.14) / 70000) / hold_period_years</f>
        <v/>
      </c>
      <c r="C47" s="30">
        <f>((((9500*(1+rent_annual_escalator)^(hold_period_years-1)*12 - (9500*(1+rent_annual_escalator)^(hold_period_years-1)*12*mgmt_fee_pct_of_rent + rm_annual + misc_annual + IF(is_pure_nnn=1,0,property_tax_annual+insurance_annual)))/0.065) - purchase_price - title_fees) * 0.14) / 70000) / hold_period_years</f>
        <v/>
      </c>
      <c r="D47" s="30">
        <f>((((9500*(1+rent_annual_escalator)^(hold_period_years-1)*12 - (9500*(1+rent_annual_escalator)^(hold_period_years-1)*12*mgmt_fee_pct_of_rent + rm_annual + misc_annual + IF(is_pure_nnn=1,0,property_tax_annual+insurance_annual)))/0.07) - purchase_price - title_fees) * 0.14) / 70000) / hold_period_years</f>
        <v/>
      </c>
      <c r="E47" s="30">
        <f>((((9500*(1+rent_annual_escalator)^(hold_period_years-1)*12 - (9500*(1+rent_annual_escalator)^(hold_period_years-1)*12*mgmt_fee_pct_of_rent + rm_annual + misc_annual + IF(is_pure_nnn=1,0,property_tax_annual+insurance_annual)))/0.075) - purchase_price - title_fees) * 0.14) / 70000) / hold_period_years</f>
        <v/>
      </c>
      <c r="F47" s="30">
        <f>((((9500*(1+rent_annual_escalator)^(hold_period_years-1)*12 - (9500*(1+rent_annual_escalator)^(hold_period_years-1)*12*mgmt_fee_pct_of_rent + rm_annual + misc_annual + IF(is_pure_nnn=1,0,property_tax_annual+insurance_annual)))/0.08) - purchase_price - title_fees) * 0.14) / 70000) / hold_period_years</f>
        <v/>
      </c>
      <c r="G47" s="30">
        <f>((((9500*(1+rent_annual_escalator)^(hold_period_years-1)*12 - (9500*(1+rent_annual_escalator)^(hold_period_years-1)*12*mgmt_fee_pct_of_rent + rm_annual + misc_annual + IF(is_pure_nnn=1,0,property_tax_annual+insurance_annual)))/0.085) - purchase_price - title_fees) * 0.14) / 70000) / hold_period_years</f>
        <v/>
      </c>
      <c r="H47" s="30">
        <f>((((9500*(1+rent_annual_escalator)^(hold_period_years-1)*12 - (9500*(1+rent_annual_escalator)^(hold_period_years-1)*12*mgmt_fee_pct_of_rent + rm_annual + misc_annual + IF(is_pure_nnn=1,0,property_tax_annual+insurance_annual)))/0.09) - purchase_price - title_fees) * 0.14) / 70000) / hold_period_years</f>
        <v/>
      </c>
      <c r="I47" s="30">
        <f>((((9500*(1+rent_annual_escalator)^(hold_period_years-1)*12 - (9500*(1+rent_annual_escalator)^(hold_period_years-1)*12*mgmt_fee_pct_of_rent + rm_annual + misc_annual + IF(is_pure_nnn=1,0,property_tax_annual+insurance_annual)))/0.095) - purchase_price - title_fees) * 0.14) / 70000) / hold_period_years</f>
        <v/>
      </c>
      <c r="J47" s="30">
        <f>((((9500*(1+rent_annual_escalator)^(hold_period_years-1)*12 - (9500*(1+rent_annual_escalator)^(hold_period_years-1)*12*mgmt_fee_pct_of_rent + rm_annual + misc_annual + IF(is_pure_nnn=1,0,property_tax_annual+insurance_annual)))/0.1) - purchase_price - title_fees) * 0.14) / 70000) / hold_period_years</f>
        <v/>
      </c>
    </row>
    <row r="48">
      <c r="A48" s="28" t="n">
        <v>10000</v>
      </c>
      <c r="B48" s="30">
        <f>((((10000*(1+rent_annual_escalator)^(hold_period_years-1)*12 - (10000*(1+rent_annual_escalator)^(hold_period_years-1)*12*mgmt_fee_pct_of_rent + rm_annual + misc_annual + IF(is_pure_nnn=1,0,property_tax_annual+insurance_annual)))/0.06) - purchase_price - title_fees) * 0.14) / 70000) / hold_period_years</f>
        <v/>
      </c>
      <c r="C48" s="30">
        <f>((((10000*(1+rent_annual_escalator)^(hold_period_years-1)*12 - (10000*(1+rent_annual_escalator)^(hold_period_years-1)*12*mgmt_fee_pct_of_rent + rm_annual + misc_annual + IF(is_pure_nnn=1,0,property_tax_annual+insurance_annual)))/0.065) - purchase_price - title_fees) * 0.14) / 70000) / hold_period_years</f>
        <v/>
      </c>
      <c r="D48" s="30">
        <f>((((10000*(1+rent_annual_escalator)^(hold_period_years-1)*12 - (10000*(1+rent_annual_escalator)^(hold_period_years-1)*12*mgmt_fee_pct_of_rent + rm_annual + misc_annual + IF(is_pure_nnn=1,0,property_tax_annual+insurance_annual)))/0.07) - purchase_price - title_fees) * 0.14) / 70000) / hold_period_years</f>
        <v/>
      </c>
      <c r="E48" s="30">
        <f>((((10000*(1+rent_annual_escalator)^(hold_period_years-1)*12 - (10000*(1+rent_annual_escalator)^(hold_period_years-1)*12*mgmt_fee_pct_of_rent + rm_annual + misc_annual + IF(is_pure_nnn=1,0,property_tax_annual+insurance_annual)))/0.075) - purchase_price - title_fees) * 0.14) / 70000) / hold_period_years</f>
        <v/>
      </c>
      <c r="F48" s="30">
        <f>((((10000*(1+rent_annual_escalator)^(hold_period_years-1)*12 - (10000*(1+rent_annual_escalator)^(hold_period_years-1)*12*mgmt_fee_pct_of_rent + rm_annual + misc_annual + IF(is_pure_nnn=1,0,property_tax_annual+insurance_annual)))/0.08) - purchase_price - title_fees) * 0.14) / 70000) / hold_period_years</f>
        <v/>
      </c>
      <c r="G48" s="30">
        <f>((((10000*(1+rent_annual_escalator)^(hold_period_years-1)*12 - (10000*(1+rent_annual_escalator)^(hold_period_years-1)*12*mgmt_fee_pct_of_rent + rm_annual + misc_annual + IF(is_pure_nnn=1,0,property_tax_annual+insurance_annual)))/0.085) - purchase_price - title_fees) * 0.14) / 70000) / hold_period_years</f>
        <v/>
      </c>
      <c r="H48" s="30">
        <f>((((10000*(1+rent_annual_escalator)^(hold_period_years-1)*12 - (10000*(1+rent_annual_escalator)^(hold_period_years-1)*12*mgmt_fee_pct_of_rent + rm_annual + misc_annual + IF(is_pure_nnn=1,0,property_tax_annual+insurance_annual)))/0.09) - purchase_price - title_fees) * 0.14) / 70000) / hold_period_years</f>
        <v/>
      </c>
      <c r="I48" s="30">
        <f>((((10000*(1+rent_annual_escalator)^(hold_period_years-1)*12 - (10000*(1+rent_annual_escalator)^(hold_period_years-1)*12*mgmt_fee_pct_of_rent + rm_annual + misc_annual + IF(is_pure_nnn=1,0,property_tax_annual+insurance_annual)))/0.095) - purchase_price - title_fees) * 0.14) / 70000) / hold_period_years</f>
        <v/>
      </c>
      <c r="J48" s="30">
        <f>((((10000*(1+rent_annual_escalator)^(hold_period_years-1)*12 - (10000*(1+rent_annual_escalator)^(hold_period_years-1)*12*mgmt_fee_pct_of_rent + rm_annual + misc_annual + IF(is_pure_nnn=1,0,property_tax_annual+insurance_annual)))/0.1) - purchase_price - title_fees) * 0.14) / 70000) / hold_period_years</f>
        <v/>
      </c>
    </row>
    <row r="49">
      <c r="A49" s="28" t="n">
        <v>10500</v>
      </c>
      <c r="B49" s="30">
        <f>((((10500*(1+rent_annual_escalator)^(hold_period_years-1)*12 - (10500*(1+rent_annual_escalator)^(hold_period_years-1)*12*mgmt_fee_pct_of_rent + rm_annual + misc_annual + IF(is_pure_nnn=1,0,property_tax_annual+insurance_annual)))/0.06) - purchase_price - title_fees) * 0.14) / 70000) / hold_period_years</f>
        <v/>
      </c>
      <c r="C49" s="30">
        <f>((((10500*(1+rent_annual_escalator)^(hold_period_years-1)*12 - (10500*(1+rent_annual_escalator)^(hold_period_years-1)*12*mgmt_fee_pct_of_rent + rm_annual + misc_annual + IF(is_pure_nnn=1,0,property_tax_annual+insurance_annual)))/0.065) - purchase_price - title_fees) * 0.14) / 70000) / hold_period_years</f>
        <v/>
      </c>
      <c r="D49" s="30">
        <f>((((10500*(1+rent_annual_escalator)^(hold_period_years-1)*12 - (10500*(1+rent_annual_escalator)^(hold_period_years-1)*12*mgmt_fee_pct_of_rent + rm_annual + misc_annual + IF(is_pure_nnn=1,0,property_tax_annual+insurance_annual)))/0.07) - purchase_price - title_fees) * 0.14) / 70000) / hold_period_years</f>
        <v/>
      </c>
      <c r="E49" s="30">
        <f>((((10500*(1+rent_annual_escalator)^(hold_period_years-1)*12 - (10500*(1+rent_annual_escalator)^(hold_period_years-1)*12*mgmt_fee_pct_of_rent + rm_annual + misc_annual + IF(is_pure_nnn=1,0,property_tax_annual+insurance_annual)))/0.075) - purchase_price - title_fees) * 0.14) / 70000) / hold_period_years</f>
        <v/>
      </c>
      <c r="F49" s="30">
        <f>((((10500*(1+rent_annual_escalator)^(hold_period_years-1)*12 - (10500*(1+rent_annual_escalator)^(hold_period_years-1)*12*mgmt_fee_pct_of_rent + rm_annual + misc_annual + IF(is_pure_nnn=1,0,property_tax_annual+insurance_annual)))/0.08) - purchase_price - title_fees) * 0.14) / 70000) / hold_period_years</f>
        <v/>
      </c>
      <c r="G49" s="30">
        <f>((((10500*(1+rent_annual_escalator)^(hold_period_years-1)*12 - (10500*(1+rent_annual_escalator)^(hold_period_years-1)*12*mgmt_fee_pct_of_rent + rm_annual + misc_annual + IF(is_pure_nnn=1,0,property_tax_annual+insurance_annual)))/0.085) - purchase_price - title_fees) * 0.14) / 70000) / hold_period_years</f>
        <v/>
      </c>
      <c r="H49" s="30">
        <f>((((10500*(1+rent_annual_escalator)^(hold_period_years-1)*12 - (10500*(1+rent_annual_escalator)^(hold_period_years-1)*12*mgmt_fee_pct_of_rent + rm_annual + misc_annual + IF(is_pure_nnn=1,0,property_tax_annual+insurance_annual)))/0.09) - purchase_price - title_fees) * 0.14) / 70000) / hold_period_years</f>
        <v/>
      </c>
      <c r="I49" s="30">
        <f>((((10500*(1+rent_annual_escalator)^(hold_period_years-1)*12 - (10500*(1+rent_annual_escalator)^(hold_period_years-1)*12*mgmt_fee_pct_of_rent + rm_annual + misc_annual + IF(is_pure_nnn=1,0,property_tax_annual+insurance_annual)))/0.095) - purchase_price - title_fees) * 0.14) / 70000) / hold_period_years</f>
        <v/>
      </c>
      <c r="J49" s="30">
        <f>((((10500*(1+rent_annual_escalator)^(hold_period_years-1)*12 - (10500*(1+rent_annual_escalator)^(hold_period_years-1)*12*mgmt_fee_pct_of_rent + rm_annual + misc_annual + IF(is_pure_nnn=1,0,property_tax_annual+insurance_annual)))/0.1) - purchase_price - title_fees) * 0.14) / 70000) / hold_period_years</f>
        <v/>
      </c>
    </row>
    <row r="50">
      <c r="A50" s="28" t="n">
        <v>11000</v>
      </c>
      <c r="B50" s="30">
        <f>((((11000*(1+rent_annual_escalator)^(hold_period_years-1)*12 - (11000*(1+rent_annual_escalator)^(hold_period_years-1)*12*mgmt_fee_pct_of_rent + rm_annual + misc_annual + IF(is_pure_nnn=1,0,property_tax_annual+insurance_annual)))/0.06) - purchase_price - title_fees) * 0.14) / 70000) / hold_period_years</f>
        <v/>
      </c>
      <c r="C50" s="30">
        <f>((((11000*(1+rent_annual_escalator)^(hold_period_years-1)*12 - (11000*(1+rent_annual_escalator)^(hold_period_years-1)*12*mgmt_fee_pct_of_rent + rm_annual + misc_annual + IF(is_pure_nnn=1,0,property_tax_annual+insurance_annual)))/0.065) - purchase_price - title_fees) * 0.14) / 70000) / hold_period_years</f>
        <v/>
      </c>
      <c r="D50" s="30">
        <f>((((11000*(1+rent_annual_escalator)^(hold_period_years-1)*12 - (11000*(1+rent_annual_escalator)^(hold_period_years-1)*12*mgmt_fee_pct_of_rent + rm_annual + misc_annual + IF(is_pure_nnn=1,0,property_tax_annual+insurance_annual)))/0.07) - purchase_price - title_fees) * 0.14) / 70000) / hold_period_years</f>
        <v/>
      </c>
      <c r="E50" s="30">
        <f>((((11000*(1+rent_annual_escalator)^(hold_period_years-1)*12 - (11000*(1+rent_annual_escalator)^(hold_period_years-1)*12*mgmt_fee_pct_of_rent + rm_annual + misc_annual + IF(is_pure_nnn=1,0,property_tax_annual+insurance_annual)))/0.075) - purchase_price - title_fees) * 0.14) / 70000) / hold_period_years</f>
        <v/>
      </c>
      <c r="F50" s="30">
        <f>((((11000*(1+rent_annual_escalator)^(hold_period_years-1)*12 - (11000*(1+rent_annual_escalator)^(hold_period_years-1)*12*mgmt_fee_pct_of_rent + rm_annual + misc_annual + IF(is_pure_nnn=1,0,property_tax_annual+insurance_annual)))/0.08) - purchase_price - title_fees) * 0.14) / 70000) / hold_period_years</f>
        <v/>
      </c>
      <c r="G50" s="30">
        <f>((((11000*(1+rent_annual_escalator)^(hold_period_years-1)*12 - (11000*(1+rent_annual_escalator)^(hold_period_years-1)*12*mgmt_fee_pct_of_rent + rm_annual + misc_annual + IF(is_pure_nnn=1,0,property_tax_annual+insurance_annual)))/0.085) - purchase_price - title_fees) * 0.14) / 70000) / hold_period_years</f>
        <v/>
      </c>
      <c r="H50" s="30">
        <f>((((11000*(1+rent_annual_escalator)^(hold_period_years-1)*12 - (11000*(1+rent_annual_escalator)^(hold_period_years-1)*12*mgmt_fee_pct_of_rent + rm_annual + misc_annual + IF(is_pure_nnn=1,0,property_tax_annual+insurance_annual)))/0.09) - purchase_price - title_fees) * 0.14) / 70000) / hold_period_years</f>
        <v/>
      </c>
      <c r="I50" s="30">
        <f>((((11000*(1+rent_annual_escalator)^(hold_period_years-1)*12 - (11000*(1+rent_annual_escalator)^(hold_period_years-1)*12*mgmt_fee_pct_of_rent + rm_annual + misc_annual + IF(is_pure_nnn=1,0,property_tax_annual+insurance_annual)))/0.095) - purchase_price - title_fees) * 0.14) / 70000) / hold_period_years</f>
        <v/>
      </c>
      <c r="J50" s="30">
        <f>((((11000*(1+rent_annual_escalator)^(hold_period_years-1)*12 - (11000*(1+rent_annual_escalator)^(hold_period_years-1)*12*mgmt_fee_pct_of_rent + rm_annual + misc_annual + IF(is_pure_nnn=1,0,property_tax_annual+insurance_annual)))/0.1) - purchase_price - title_fees) * 0.14) / 70000) / hold_period_years</f>
        <v/>
      </c>
    </row>
    <row r="51">
      <c r="A51" s="28" t="n">
        <v>11500</v>
      </c>
      <c r="B51" s="30">
        <f>((((11500*(1+rent_annual_escalator)^(hold_period_years-1)*12 - (11500*(1+rent_annual_escalator)^(hold_period_years-1)*12*mgmt_fee_pct_of_rent + rm_annual + misc_annual + IF(is_pure_nnn=1,0,property_tax_annual+insurance_annual)))/0.06) - purchase_price - title_fees) * 0.14) / 70000) / hold_period_years</f>
        <v/>
      </c>
      <c r="C51" s="30">
        <f>((((11500*(1+rent_annual_escalator)^(hold_period_years-1)*12 - (11500*(1+rent_annual_escalator)^(hold_period_years-1)*12*mgmt_fee_pct_of_rent + rm_annual + misc_annual + IF(is_pure_nnn=1,0,property_tax_annual+insurance_annual)))/0.065) - purchase_price - title_fees) * 0.14) / 70000) / hold_period_years</f>
        <v/>
      </c>
      <c r="D51" s="30">
        <f>((((11500*(1+rent_annual_escalator)^(hold_period_years-1)*12 - (11500*(1+rent_annual_escalator)^(hold_period_years-1)*12*mgmt_fee_pct_of_rent + rm_annual + misc_annual + IF(is_pure_nnn=1,0,property_tax_annual+insurance_annual)))/0.07) - purchase_price - title_fees) * 0.14) / 70000) / hold_period_years</f>
        <v/>
      </c>
      <c r="E51" s="30">
        <f>((((11500*(1+rent_annual_escalator)^(hold_period_years-1)*12 - (11500*(1+rent_annual_escalator)^(hold_period_years-1)*12*mgmt_fee_pct_of_rent + rm_annual + misc_annual + IF(is_pure_nnn=1,0,property_tax_annual+insurance_annual)))/0.075) - purchase_price - title_fees) * 0.14) / 70000) / hold_period_years</f>
        <v/>
      </c>
      <c r="F51" s="30">
        <f>((((11500*(1+rent_annual_escalator)^(hold_period_years-1)*12 - (11500*(1+rent_annual_escalator)^(hold_period_years-1)*12*mgmt_fee_pct_of_rent + rm_annual + misc_annual + IF(is_pure_nnn=1,0,property_tax_annual+insurance_annual)))/0.08) - purchase_price - title_fees) * 0.14) / 70000) / hold_period_years</f>
        <v/>
      </c>
      <c r="G51" s="30">
        <f>((((11500*(1+rent_annual_escalator)^(hold_period_years-1)*12 - (11500*(1+rent_annual_escalator)^(hold_period_years-1)*12*mgmt_fee_pct_of_rent + rm_annual + misc_annual + IF(is_pure_nnn=1,0,property_tax_annual+insurance_annual)))/0.085) - purchase_price - title_fees) * 0.14) / 70000) / hold_period_years</f>
        <v/>
      </c>
      <c r="H51" s="30">
        <f>((((11500*(1+rent_annual_escalator)^(hold_period_years-1)*12 - (11500*(1+rent_annual_escalator)^(hold_period_years-1)*12*mgmt_fee_pct_of_rent + rm_annual + misc_annual + IF(is_pure_nnn=1,0,property_tax_annual+insurance_annual)))/0.09) - purchase_price - title_fees) * 0.14) / 70000) / hold_period_years</f>
        <v/>
      </c>
      <c r="I51" s="30">
        <f>((((11500*(1+rent_annual_escalator)^(hold_period_years-1)*12 - (11500*(1+rent_annual_escalator)^(hold_period_years-1)*12*mgmt_fee_pct_of_rent + rm_annual + misc_annual + IF(is_pure_nnn=1,0,property_tax_annual+insurance_annual)))/0.095) - purchase_price - title_fees) * 0.14) / 70000) / hold_period_years</f>
        <v/>
      </c>
      <c r="J51" s="30">
        <f>((((11500*(1+rent_annual_escalator)^(hold_period_years-1)*12 - (11500*(1+rent_annual_escalator)^(hold_period_years-1)*12*mgmt_fee_pct_of_rent + rm_annual + misc_annual + IF(is_pure_nnn=1,0,property_tax_annual+insurance_annual)))/0.1) - purchase_price - title_fees) * 0.14) / 70000) / hold_period_years</f>
        <v/>
      </c>
    </row>
    <row r="52">
      <c r="A52" s="28" t="n">
        <v>12000</v>
      </c>
      <c r="B52" s="30">
        <f>((((12000*(1+rent_annual_escalator)^(hold_period_years-1)*12 - (12000*(1+rent_annual_escalator)^(hold_period_years-1)*12*mgmt_fee_pct_of_rent + rm_annual + misc_annual + IF(is_pure_nnn=1,0,property_tax_annual+insurance_annual)))/0.06) - purchase_price - title_fees) * 0.14) / 70000) / hold_period_years</f>
        <v/>
      </c>
      <c r="C52" s="30">
        <f>((((12000*(1+rent_annual_escalator)^(hold_period_years-1)*12 - (12000*(1+rent_annual_escalator)^(hold_period_years-1)*12*mgmt_fee_pct_of_rent + rm_annual + misc_annual + IF(is_pure_nnn=1,0,property_tax_annual+insurance_annual)))/0.065) - purchase_price - title_fees) * 0.14) / 70000) / hold_period_years</f>
        <v/>
      </c>
      <c r="D52" s="30">
        <f>((((12000*(1+rent_annual_escalator)^(hold_period_years-1)*12 - (12000*(1+rent_annual_escalator)^(hold_period_years-1)*12*mgmt_fee_pct_of_rent + rm_annual + misc_annual + IF(is_pure_nnn=1,0,property_tax_annual+insurance_annual)))/0.07) - purchase_price - title_fees) * 0.14) / 70000) / hold_period_years</f>
        <v/>
      </c>
      <c r="E52" s="30">
        <f>((((12000*(1+rent_annual_escalator)^(hold_period_years-1)*12 - (12000*(1+rent_annual_escalator)^(hold_period_years-1)*12*mgmt_fee_pct_of_rent + rm_annual + misc_annual + IF(is_pure_nnn=1,0,property_tax_annual+insurance_annual)))/0.075) - purchase_price - title_fees) * 0.14) / 70000) / hold_period_years</f>
        <v/>
      </c>
      <c r="F52" s="30">
        <f>((((12000*(1+rent_annual_escalator)^(hold_period_years-1)*12 - (12000*(1+rent_annual_escalator)^(hold_period_years-1)*12*mgmt_fee_pct_of_rent + rm_annual + misc_annual + IF(is_pure_nnn=1,0,property_tax_annual+insurance_annual)))/0.08) - purchase_price - title_fees) * 0.14) / 70000) / hold_period_years</f>
        <v/>
      </c>
      <c r="G52" s="30">
        <f>((((12000*(1+rent_annual_escalator)^(hold_period_years-1)*12 - (12000*(1+rent_annual_escalator)^(hold_period_years-1)*12*mgmt_fee_pct_of_rent + rm_annual + misc_annual + IF(is_pure_nnn=1,0,property_tax_annual+insurance_annual)))/0.085) - purchase_price - title_fees) * 0.14) / 70000) / hold_period_years</f>
        <v/>
      </c>
      <c r="H52" s="30">
        <f>((((12000*(1+rent_annual_escalator)^(hold_period_years-1)*12 - (12000*(1+rent_annual_escalator)^(hold_period_years-1)*12*mgmt_fee_pct_of_rent + rm_annual + misc_annual + IF(is_pure_nnn=1,0,property_tax_annual+insurance_annual)))/0.09) - purchase_price - title_fees) * 0.14) / 70000) / hold_period_years</f>
        <v/>
      </c>
      <c r="I52" s="30">
        <f>((((12000*(1+rent_annual_escalator)^(hold_period_years-1)*12 - (12000*(1+rent_annual_escalator)^(hold_period_years-1)*12*mgmt_fee_pct_of_rent + rm_annual + misc_annual + IF(is_pure_nnn=1,0,property_tax_annual+insurance_annual)))/0.095) - purchase_price - title_fees) * 0.14) / 70000) / hold_period_years</f>
        <v/>
      </c>
      <c r="J52" s="30">
        <f>((((12000*(1+rent_annual_escalator)^(hold_period_years-1)*12 - (12000*(1+rent_annual_escalator)^(hold_period_years-1)*12*mgmt_fee_pct_of_rent + rm_annual + misc_annual + IF(is_pure_nnn=1,0,property_tax_annual+insurance_annual)))/0.1) - purchase_price - title_fees) * 0.14) / 70000) / hold_period_years</f>
        <v/>
      </c>
    </row>
    <row r="53">
      <c r="A53" s="28" t="n">
        <v>12500</v>
      </c>
      <c r="B53" s="30">
        <f>((((12500*(1+rent_annual_escalator)^(hold_period_years-1)*12 - (12500*(1+rent_annual_escalator)^(hold_period_years-1)*12*mgmt_fee_pct_of_rent + rm_annual + misc_annual + IF(is_pure_nnn=1,0,property_tax_annual+insurance_annual)))/0.06) - purchase_price - title_fees) * 0.14) / 70000) / hold_period_years</f>
        <v/>
      </c>
      <c r="C53" s="30">
        <f>((((12500*(1+rent_annual_escalator)^(hold_period_years-1)*12 - (12500*(1+rent_annual_escalator)^(hold_period_years-1)*12*mgmt_fee_pct_of_rent + rm_annual + misc_annual + IF(is_pure_nnn=1,0,property_tax_annual+insurance_annual)))/0.065) - purchase_price - title_fees) * 0.14) / 70000) / hold_period_years</f>
        <v/>
      </c>
      <c r="D53" s="30">
        <f>((((12500*(1+rent_annual_escalator)^(hold_period_years-1)*12 - (12500*(1+rent_annual_escalator)^(hold_period_years-1)*12*mgmt_fee_pct_of_rent + rm_annual + misc_annual + IF(is_pure_nnn=1,0,property_tax_annual+insurance_annual)))/0.07) - purchase_price - title_fees) * 0.14) / 70000) / hold_period_years</f>
        <v/>
      </c>
      <c r="E53" s="30">
        <f>((((12500*(1+rent_annual_escalator)^(hold_period_years-1)*12 - (12500*(1+rent_annual_escalator)^(hold_period_years-1)*12*mgmt_fee_pct_of_rent + rm_annual + misc_annual + IF(is_pure_nnn=1,0,property_tax_annual+insurance_annual)))/0.075) - purchase_price - title_fees) * 0.14) / 70000) / hold_period_years</f>
        <v/>
      </c>
      <c r="F53" s="30">
        <f>((((12500*(1+rent_annual_escalator)^(hold_period_years-1)*12 - (12500*(1+rent_annual_escalator)^(hold_period_years-1)*12*mgmt_fee_pct_of_rent + rm_annual + misc_annual + IF(is_pure_nnn=1,0,property_tax_annual+insurance_annual)))/0.08) - purchase_price - title_fees) * 0.14) / 70000) / hold_period_years</f>
        <v/>
      </c>
      <c r="G53" s="30">
        <f>((((12500*(1+rent_annual_escalator)^(hold_period_years-1)*12 - (12500*(1+rent_annual_escalator)^(hold_period_years-1)*12*mgmt_fee_pct_of_rent + rm_annual + misc_annual + IF(is_pure_nnn=1,0,property_tax_annual+insurance_annual)))/0.085) - purchase_price - title_fees) * 0.14) / 70000) / hold_period_years</f>
        <v/>
      </c>
      <c r="H53" s="30">
        <f>((((12500*(1+rent_annual_escalator)^(hold_period_years-1)*12 - (12500*(1+rent_annual_escalator)^(hold_period_years-1)*12*mgmt_fee_pct_of_rent + rm_annual + misc_annual + IF(is_pure_nnn=1,0,property_tax_annual+insurance_annual)))/0.09) - purchase_price - title_fees) * 0.14) / 70000) / hold_period_years</f>
        <v/>
      </c>
      <c r="I53" s="30">
        <f>((((12500*(1+rent_annual_escalator)^(hold_period_years-1)*12 - (12500*(1+rent_annual_escalator)^(hold_period_years-1)*12*mgmt_fee_pct_of_rent + rm_annual + misc_annual + IF(is_pure_nnn=1,0,property_tax_annual+insurance_annual)))/0.095) - purchase_price - title_fees) * 0.14) / 70000) / hold_period_years</f>
        <v/>
      </c>
      <c r="J53" s="30">
        <f>((((12500*(1+rent_annual_escalator)^(hold_period_years-1)*12 - (12500*(1+rent_annual_escalator)^(hold_period_years-1)*12*mgmt_fee_pct_of_rent + rm_annual + misc_annual + IF(is_pure_nnn=1,0,property_tax_annual+insurance_annual)))/0.1) - purchase_price - title_fees) * 0.14) / 70000) / hold_period_years</f>
        <v/>
      </c>
    </row>
    <row r="54">
      <c r="A54" s="28" t="n">
        <v>13000</v>
      </c>
      <c r="B54" s="30">
        <f>((((13000*(1+rent_annual_escalator)^(hold_period_years-1)*12 - (13000*(1+rent_annual_escalator)^(hold_period_years-1)*12*mgmt_fee_pct_of_rent + rm_annual + misc_annual + IF(is_pure_nnn=1,0,property_tax_annual+insurance_annual)))/0.06) - purchase_price - title_fees) * 0.14) / 70000) / hold_period_years</f>
        <v/>
      </c>
      <c r="C54" s="30">
        <f>((((13000*(1+rent_annual_escalator)^(hold_period_years-1)*12 - (13000*(1+rent_annual_escalator)^(hold_period_years-1)*12*mgmt_fee_pct_of_rent + rm_annual + misc_annual + IF(is_pure_nnn=1,0,property_tax_annual+insurance_annual)))/0.065) - purchase_price - title_fees) * 0.14) / 70000) / hold_period_years</f>
        <v/>
      </c>
      <c r="D54" s="30">
        <f>((((13000*(1+rent_annual_escalator)^(hold_period_years-1)*12 - (13000*(1+rent_annual_escalator)^(hold_period_years-1)*12*mgmt_fee_pct_of_rent + rm_annual + misc_annual + IF(is_pure_nnn=1,0,property_tax_annual+insurance_annual)))/0.07) - purchase_price - title_fees) * 0.14) / 70000) / hold_period_years</f>
        <v/>
      </c>
      <c r="E54" s="30">
        <f>((((13000*(1+rent_annual_escalator)^(hold_period_years-1)*12 - (13000*(1+rent_annual_escalator)^(hold_period_years-1)*12*mgmt_fee_pct_of_rent + rm_annual + misc_annual + IF(is_pure_nnn=1,0,property_tax_annual+insurance_annual)))/0.075) - purchase_price - title_fees) * 0.14) / 70000) / hold_period_years</f>
        <v/>
      </c>
      <c r="F54" s="30">
        <f>((((13000*(1+rent_annual_escalator)^(hold_period_years-1)*12 - (13000*(1+rent_annual_escalator)^(hold_period_years-1)*12*mgmt_fee_pct_of_rent + rm_annual + misc_annual + IF(is_pure_nnn=1,0,property_tax_annual+insurance_annual)))/0.08) - purchase_price - title_fees) * 0.14) / 70000) / hold_period_years</f>
        <v/>
      </c>
      <c r="G54" s="30">
        <f>((((13000*(1+rent_annual_escalator)^(hold_period_years-1)*12 - (13000*(1+rent_annual_escalator)^(hold_period_years-1)*12*mgmt_fee_pct_of_rent + rm_annual + misc_annual + IF(is_pure_nnn=1,0,property_tax_annual+insurance_annual)))/0.085) - purchase_price - title_fees) * 0.14) / 70000) / hold_period_years</f>
        <v/>
      </c>
      <c r="H54" s="30">
        <f>((((13000*(1+rent_annual_escalator)^(hold_period_years-1)*12 - (13000*(1+rent_annual_escalator)^(hold_period_years-1)*12*mgmt_fee_pct_of_rent + rm_annual + misc_annual + IF(is_pure_nnn=1,0,property_tax_annual+insurance_annual)))/0.09) - purchase_price - title_fees) * 0.14) / 70000) / hold_period_years</f>
        <v/>
      </c>
      <c r="I54" s="30">
        <f>((((13000*(1+rent_annual_escalator)^(hold_period_years-1)*12 - (13000*(1+rent_annual_escalator)^(hold_period_years-1)*12*mgmt_fee_pct_of_rent + rm_annual + misc_annual + IF(is_pure_nnn=1,0,property_tax_annual+insurance_annual)))/0.095) - purchase_price - title_fees) * 0.14) / 70000) / hold_period_years</f>
        <v/>
      </c>
      <c r="J54" s="30">
        <f>((((13000*(1+rent_annual_escalator)^(hold_period_years-1)*12 - (13000*(1+rent_annual_escalator)^(hold_period_years-1)*12*mgmt_fee_pct_of_rent + rm_annual + misc_annual + IF(is_pure_nnn=1,0,property_tax_annual+insurance_annual)))/0.1) - purchase_price - title_fees) * 0.14) / 70000) / hold_period_years</f>
        <v/>
      </c>
    </row>
  </sheetData>
  <mergeCells count="4">
    <mergeCell ref="A21:K21"/>
    <mergeCell ref="A39:K39"/>
    <mergeCell ref="A1:K1"/>
    <mergeCell ref="A3:K3"/>
  </mergeCells>
  <conditionalFormatting sqref="B6:J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L3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J5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READ ME — Moab Early App v1 Truth Source</t>
        </is>
      </c>
    </row>
    <row r="2">
      <c r="A2" s="31" t="inlineStr"/>
    </row>
    <row r="3">
      <c r="A3" s="32" t="inlineStr">
        <is>
          <t>WHAT THIS IS</t>
        </is>
      </c>
    </row>
    <row r="4">
      <c r="A4" s="31" t="inlineStr">
        <is>
          <t xml:space="preserve">  This xlsx is the canonical data source for the Moab Early App. The .html app reads</t>
        </is>
      </c>
    </row>
    <row r="5">
      <c r="A5" s="31" t="inlineStr">
        <is>
          <t xml:space="preserve">  every input from the Inputs tab and re-runs the full calculation graph on every change.</t>
        </is>
      </c>
    </row>
    <row r="6">
      <c r="A6" s="31" t="inlineStr">
        <is>
          <t xml:space="preserve">  All formulas live (not hard-coded values). Open this file in Excel directly and</t>
        </is>
      </c>
    </row>
    <row r="7">
      <c r="A7" s="31" t="inlineStr">
        <is>
          <t xml:space="preserve">  change any yellow input cell — the model recomputes the same as in the app.</t>
        </is>
      </c>
    </row>
    <row r="8">
      <c r="A8" s="31" t="inlineStr"/>
    </row>
    <row r="9">
      <c r="A9" s="32" t="inlineStr">
        <is>
          <t>SHEETS</t>
        </is>
      </c>
    </row>
    <row r="10">
      <c r="A10" s="31" t="inlineStr">
        <is>
          <t xml:space="preserve">  • Inputs           — all editable variables. Yellow = editable. Names match app field keys.</t>
        </is>
      </c>
    </row>
    <row r="11">
      <c r="A11" s="31" t="inlineStr">
        <is>
          <t xml:space="preserve">  • NOI              — 10-year projection. Years &gt; Hold Period are blanked automatically.</t>
        </is>
      </c>
    </row>
    <row r="12">
      <c r="A12" s="31" t="inlineStr">
        <is>
          <t xml:space="preserve">  • The Buy          — equity &amp; mortgage calc.</t>
        </is>
      </c>
    </row>
    <row r="13">
      <c r="A13" s="31" t="inlineStr">
        <is>
          <t xml:space="preserve">  • Investor Team    — cap-stack table. Equal-Lock Group + Auto-Deduct columns drive the toggles.</t>
        </is>
      </c>
    </row>
    <row r="14">
      <c r="A14" s="31" t="inlineStr">
        <is>
          <t xml:space="preserve">  • Sale             — Year-N exit waterfall + per-investor distribution.</t>
        </is>
      </c>
    </row>
    <row r="15">
      <c r="A15" s="31" t="inlineStr">
        <is>
          <t xml:space="preserve">  • Sensitivity      — 3 two-way tables: rent×cap → sale, rent×loan rate → cash flow, rent×cap → IRR.</t>
        </is>
      </c>
    </row>
    <row r="16">
      <c r="A16" s="31" t="inlineStr">
        <is>
          <t xml:space="preserve">  • Summary          — at-a-glance front of book.</t>
        </is>
      </c>
    </row>
    <row r="17">
      <c r="A17" s="31" t="inlineStr">
        <is>
          <t xml:space="preserve">  • Read Me          — this sheet.</t>
        </is>
      </c>
    </row>
    <row r="18">
      <c r="A18" s="31" t="inlineStr"/>
    </row>
    <row r="19">
      <c r="A19" s="32" t="inlineStr">
        <is>
          <t>KEY ASSUMPTIONS (defaults from Moab Early Base case)</t>
        </is>
      </c>
    </row>
    <row r="20">
      <c r="A20" s="31" t="inlineStr">
        <is>
          <t xml:space="preserve">  • Year 1 rent (NNN): $9,000/mo</t>
        </is>
      </c>
    </row>
    <row r="21">
      <c r="A21" s="31" t="inlineStr">
        <is>
          <t xml:space="preserve">  • Annual rent escalator: 4%</t>
        </is>
      </c>
    </row>
    <row r="22">
      <c r="A22" s="31" t="inlineStr">
        <is>
          <t xml:space="preserve">  • Loan: 80% LTV at 7.50%, 25-yr amortization</t>
        </is>
      </c>
    </row>
    <row r="23">
      <c r="A23" s="31" t="inlineStr">
        <is>
          <t xml:space="preserve">  • Mgmt fee: 4% of rent</t>
        </is>
      </c>
    </row>
    <row r="24">
      <c r="A24" s="31" t="inlineStr">
        <is>
          <t xml:space="preserve">  • Hold period: 5 years (variable 3-10)</t>
        </is>
      </c>
    </row>
    <row r="25">
      <c r="A25" s="31" t="inlineStr">
        <is>
          <t xml:space="preserve">  • Exit cap rate: 8.00%</t>
        </is>
      </c>
    </row>
    <row r="26">
      <c r="A26" s="31" t="inlineStr">
        <is>
          <t xml:space="preserve">  • Cap stack: 4 team members @ $70K (14% each, Group 1) + EM 4% + JE 40% (auto-deduct)</t>
        </is>
      </c>
    </row>
    <row r="27">
      <c r="A27" s="31" t="inlineStr"/>
    </row>
    <row r="28">
      <c r="A28" s="32" t="inlineStr">
        <is>
          <t>ORIGINAL JOHN ABLE MODEL</t>
        </is>
      </c>
    </row>
    <row r="29">
      <c r="A29" s="31" t="inlineStr">
        <is>
          <t xml:space="preserve">  Lives at:  KNOW/260425_MoabEarly_LeadInvestorModel_v1.xlsx</t>
        </is>
      </c>
    </row>
    <row r="30">
      <c r="A30" s="31" t="inlineStr">
        <is>
          <t xml:space="preserve">  This truth source is mathematically faithful to that model. JWA's original sheets</t>
        </is>
      </c>
    </row>
    <row r="31">
      <c r="A31" s="31" t="inlineStr">
        <is>
          <t xml:space="preserve">  are preserved untouched at the original location for audit reference.</t>
        </is>
      </c>
    </row>
    <row r="32">
      <c r="A32" s="31" t="inlineStr"/>
    </row>
    <row r="33">
      <c r="A33" s="32" t="inlineStr">
        <is>
          <t>SAVING VERSIONS</t>
        </is>
      </c>
    </row>
    <row r="34">
      <c r="A34" s="31" t="inlineStr">
        <is>
          <t xml:space="preserve">  Use the app's [+ Save] button to create a snapshot. Snapshots save to the folder</t>
        </is>
      </c>
    </row>
    <row r="35">
      <c r="A35" s="31" t="inlineStr">
        <is>
          <t xml:space="preserve">  adjacent to the .html app. Filename pattern: &lt;deal_short_name&gt;_v&lt;N&gt;_&lt;YYMMDD-HHMM&gt;.xlsx.</t>
        </is>
      </c>
    </row>
    <row r="36">
      <c r="A36" s="31" t="inlineStr">
        <is>
          <t xml:space="preserve">  Each save also writes a .meta.json sidecar with diff metadata vs. the parent version.</t>
        </is>
      </c>
    </row>
    <row r="37">
      <c r="A37" s="31" t="inlineStr"/>
    </row>
    <row r="38">
      <c r="A38" s="32" t="inlineStr">
        <is>
          <t>EDITING INPUTS DIRECTLY IN EXCEL</t>
        </is>
      </c>
    </row>
    <row r="39">
      <c r="A39" s="31" t="inlineStr">
        <is>
          <t xml:space="preserve">  Yellow cells on the Inputs tab are user-editable. Every formula in every other tab</t>
        </is>
      </c>
    </row>
    <row r="40">
      <c r="A40" s="31" t="inlineStr">
        <is>
          <t xml:space="preserve">  references those cells by name (e.g., =purchase_price, =loan_to_value). Changing an</t>
        </is>
      </c>
    </row>
    <row r="41">
      <c r="A41" s="31" t="inlineStr">
        <is>
          <t xml:space="preserve">  input in Excel recomputes the whole workbook.</t>
        </is>
      </c>
    </row>
    <row r="42">
      <c r="A42" s="31" t="inlineStr"/>
    </row>
    <row r="43">
      <c r="A43" s="32" t="inlineStr">
        <is>
          <t>CONTACT</t>
        </is>
      </c>
    </row>
    <row r="44">
      <c r="A44" s="31" t="inlineStr">
        <is>
          <t xml:space="preserve">  John Early   |   jpearly@gmail.com   |   435-260-8260</t>
        </is>
      </c>
    </row>
    <row r="45">
      <c r="A45" s="31" t="inlineStr">
        <is>
          <t xml:space="preserve">  Moab Mercantile LLC   |   Coyote's Outpost   |   805 N Main, Moab, 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2026-04-26T22:13:16Z</dcterms:created>
  <dcterms:modified xmlns:dcterms="http://purl.org/dc/terms/" xmlns:xsi="http://www.w3.org/2001/XMLSchema-instance" xsi:type="dcterms:W3CDTF">2026-04-26T22:13:16Z</dcterms:modified>
</cp:coreProperties>
</file>